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kustconnect-my.sharepoint.com/personal/xzouae_connect_ust_hk/Documents/Desktop/Sewer paper/paper/NW submission package/SI/"/>
    </mc:Choice>
  </mc:AlternateContent>
  <xr:revisionPtr revIDLastSave="286" documentId="8_{F0196F78-73CE-4732-BCC3-A8BF46B2D271}" xr6:coauthVersionLast="47" xr6:coauthVersionMax="47" xr10:uidLastSave="{27BDCCA3-324E-4698-9016-7B1BEBF7F312}"/>
  <bookViews>
    <workbookView xWindow="-23148" yWindow="4200" windowWidth="23256" windowHeight="12456" firstSheet="5" activeTab="7" xr2:uid="{00000000-000D-0000-FFFF-FFFF00000000}"/>
  </bookViews>
  <sheets>
    <sheet name="COD" sheetId="1" r:id="rId1"/>
    <sheet name="HK" sheetId="2" r:id="rId2"/>
    <sheet name="WWTP flow" sheetId="3" r:id="rId3"/>
    <sheet name="data provided by LZS" sheetId="4" r:id="rId4"/>
    <sheet name="TDS update1" sheetId="5" r:id="rId5"/>
    <sheet name="TDS update2" sheetId="6" r:id="rId6"/>
    <sheet name="TDS updata5" sheetId="8" r:id="rId7"/>
    <sheet name="DO_force" sheetId="9" r:id="rId8"/>
    <sheet name="TDS update3" sheetId="7" r:id="rId9"/>
    <sheet name="COD fractio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0" l="1"/>
  <c r="L4" i="10"/>
  <c r="L5" i="10"/>
  <c r="L6" i="10"/>
  <c r="L7" i="10"/>
  <c r="L8" i="10"/>
  <c r="L9" i="10"/>
  <c r="L10" i="10"/>
  <c r="L3" i="10"/>
  <c r="K4" i="10"/>
  <c r="K5" i="10"/>
  <c r="K6" i="10"/>
  <c r="K7" i="10"/>
  <c r="K8" i="10"/>
  <c r="K9" i="10"/>
  <c r="K10" i="10"/>
  <c r="K3" i="10"/>
  <c r="K11" i="10"/>
  <c r="G91" i="6"/>
  <c r="B91" i="6"/>
  <c r="D91" i="6"/>
  <c r="C91" i="6"/>
  <c r="C88" i="6"/>
  <c r="C41" i="8"/>
  <c r="J46" i="8" l="1"/>
  <c r="I46" i="8"/>
  <c r="H46" i="8"/>
  <c r="G46" i="8"/>
  <c r="F46" i="8"/>
  <c r="E46" i="8"/>
  <c r="D46" i="8"/>
  <c r="C46" i="8"/>
  <c r="B46" i="8"/>
  <c r="J45" i="8"/>
  <c r="I45" i="8"/>
  <c r="H45" i="8"/>
  <c r="G45" i="8"/>
  <c r="F45" i="8"/>
  <c r="E45" i="8"/>
  <c r="D45" i="8"/>
  <c r="C45" i="8"/>
  <c r="B45" i="8"/>
  <c r="J44" i="8"/>
  <c r="I44" i="8"/>
  <c r="H44" i="8"/>
  <c r="G44" i="8"/>
  <c r="F44" i="8"/>
  <c r="E44" i="8"/>
  <c r="D44" i="8"/>
  <c r="C44" i="8"/>
  <c r="B44" i="8"/>
  <c r="J43" i="8"/>
  <c r="I43" i="8"/>
  <c r="H43" i="8"/>
  <c r="G43" i="8"/>
  <c r="F43" i="8"/>
  <c r="E43" i="8"/>
  <c r="D43" i="8"/>
  <c r="C43" i="8"/>
  <c r="B43" i="8"/>
  <c r="J42" i="8"/>
  <c r="I42" i="8"/>
  <c r="H42" i="8"/>
  <c r="G42" i="8"/>
  <c r="F42" i="8"/>
  <c r="E42" i="8"/>
  <c r="D42" i="8"/>
  <c r="C42" i="8"/>
  <c r="B42" i="8"/>
  <c r="J41" i="8"/>
  <c r="I41" i="8"/>
  <c r="H41" i="8"/>
  <c r="G41" i="8"/>
  <c r="F41" i="8"/>
  <c r="E41" i="8"/>
  <c r="D41" i="8"/>
  <c r="B41" i="8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2" i="3"/>
  <c r="V16" i="3"/>
  <c r="R17" i="3"/>
  <c r="R18" i="3"/>
  <c r="R16" i="3"/>
  <c r="R12" i="3"/>
  <c r="R13" i="3"/>
  <c r="R14" i="3"/>
  <c r="R15" i="3"/>
  <c r="R11" i="3"/>
  <c r="R3" i="3"/>
  <c r="R4" i="3"/>
  <c r="R5" i="3"/>
  <c r="R6" i="3"/>
  <c r="R7" i="3"/>
  <c r="R8" i="3"/>
  <c r="R9" i="3"/>
  <c r="R10" i="3"/>
  <c r="R2" i="3"/>
  <c r="E20" i="3"/>
  <c r="Q17" i="3"/>
  <c r="Q12" i="3"/>
  <c r="Q11" i="3"/>
  <c r="N12" i="3"/>
  <c r="N11" i="3"/>
  <c r="Q2" i="3"/>
  <c r="Q3" i="3"/>
  <c r="G41" i="5"/>
  <c r="H41" i="5"/>
  <c r="C41" i="5"/>
  <c r="D93" i="6"/>
  <c r="D92" i="6"/>
  <c r="D90" i="6"/>
  <c r="D89" i="6"/>
  <c r="D88" i="6"/>
  <c r="B41" i="5"/>
  <c r="J93" i="6"/>
  <c r="J92" i="6"/>
  <c r="J91" i="6"/>
  <c r="J90" i="6"/>
  <c r="J89" i="6"/>
  <c r="J88" i="6"/>
  <c r="F93" i="6"/>
  <c r="F92" i="6"/>
  <c r="F91" i="6"/>
  <c r="F90" i="6"/>
  <c r="F89" i="6"/>
  <c r="F88" i="6"/>
  <c r="G93" i="6"/>
  <c r="G92" i="6"/>
  <c r="G90" i="6"/>
  <c r="G89" i="6"/>
  <c r="G88" i="6"/>
  <c r="E93" i="6"/>
  <c r="E92" i="6"/>
  <c r="E91" i="6"/>
  <c r="E90" i="6"/>
  <c r="E89" i="6"/>
  <c r="E88" i="6"/>
  <c r="C93" i="6"/>
  <c r="C92" i="6"/>
  <c r="C90" i="6"/>
  <c r="C89" i="6"/>
  <c r="I93" i="6"/>
  <c r="I92" i="6"/>
  <c r="I91" i="6"/>
  <c r="I90" i="6"/>
  <c r="I89" i="6"/>
  <c r="I88" i="6"/>
  <c r="B93" i="6"/>
  <c r="B92" i="6"/>
  <c r="B90" i="6"/>
  <c r="B89" i="6"/>
  <c r="B88" i="6"/>
  <c r="H88" i="6"/>
  <c r="H93" i="6"/>
  <c r="H92" i="6"/>
  <c r="H91" i="6"/>
  <c r="H90" i="6"/>
  <c r="H89" i="6"/>
  <c r="Z40" i="4" l="1"/>
  <c r="X40" i="4"/>
  <c r="AD40" i="4" s="1"/>
  <c r="W40" i="4"/>
  <c r="AC40" i="4" s="1"/>
  <c r="V40" i="4"/>
  <c r="AB40" i="4" s="1"/>
  <c r="U40" i="4"/>
  <c r="AA40" i="4" s="1"/>
  <c r="T40" i="4"/>
  <c r="AD39" i="4"/>
  <c r="X39" i="4"/>
  <c r="W39" i="4"/>
  <c r="AC39" i="4" s="1"/>
  <c r="V39" i="4"/>
  <c r="AB39" i="4" s="1"/>
  <c r="U39" i="4"/>
  <c r="AA39" i="4" s="1"/>
  <c r="T39" i="4"/>
  <c r="Z39" i="4" s="1"/>
  <c r="AD38" i="4"/>
  <c r="AC38" i="4"/>
  <c r="X38" i="4"/>
  <c r="W38" i="4"/>
  <c r="V38" i="4"/>
  <c r="AB38" i="4" s="1"/>
  <c r="U38" i="4"/>
  <c r="AA38" i="4" s="1"/>
  <c r="T38" i="4"/>
  <c r="Z38" i="4" s="1"/>
  <c r="AD37" i="4"/>
  <c r="AB37" i="4"/>
  <c r="AA37" i="4"/>
  <c r="Z37" i="4"/>
  <c r="X37" i="4"/>
  <c r="W37" i="4"/>
  <c r="AC37" i="4" s="1"/>
  <c r="V37" i="4"/>
  <c r="U37" i="4"/>
  <c r="T37" i="4"/>
  <c r="AA36" i="4"/>
  <c r="Z36" i="4"/>
  <c r="X36" i="4"/>
  <c r="AD36" i="4" s="1"/>
  <c r="W36" i="4"/>
  <c r="AC36" i="4" s="1"/>
  <c r="V36" i="4"/>
  <c r="AB36" i="4" s="1"/>
  <c r="U36" i="4"/>
  <c r="T36" i="4"/>
  <c r="AD35" i="4"/>
  <c r="X35" i="4"/>
  <c r="W35" i="4"/>
  <c r="AC35" i="4" s="1"/>
  <c r="V35" i="4"/>
  <c r="AB35" i="4" s="1"/>
  <c r="U35" i="4"/>
  <c r="AA35" i="4" s="1"/>
  <c r="T35" i="4"/>
  <c r="Z35" i="4" s="1"/>
  <c r="AD34" i="4"/>
  <c r="AC34" i="4"/>
  <c r="AB34" i="4"/>
  <c r="AA34" i="4"/>
  <c r="Z34" i="4"/>
  <c r="X34" i="4"/>
  <c r="W34" i="4"/>
  <c r="V34" i="4"/>
  <c r="U34" i="4"/>
  <c r="T34" i="4"/>
  <c r="X33" i="4"/>
  <c r="AD33" i="4" s="1"/>
  <c r="W33" i="4"/>
  <c r="AC33" i="4" s="1"/>
  <c r="V33" i="4"/>
  <c r="AB33" i="4" s="1"/>
  <c r="U33" i="4"/>
  <c r="AA33" i="4" s="1"/>
  <c r="T33" i="4"/>
  <c r="Z33" i="4" s="1"/>
  <c r="AD32" i="4"/>
  <c r="AC32" i="4"/>
  <c r="AB32" i="4"/>
  <c r="X32" i="4"/>
  <c r="W32" i="4"/>
  <c r="V32" i="4"/>
  <c r="U32" i="4"/>
  <c r="AA32" i="4" s="1"/>
  <c r="T32" i="4"/>
  <c r="Z32" i="4" s="1"/>
  <c r="AC31" i="4"/>
  <c r="AB31" i="4"/>
  <c r="AA31" i="4"/>
  <c r="Z31" i="4"/>
  <c r="X31" i="4"/>
  <c r="AD31" i="4" s="1"/>
  <c r="W31" i="4"/>
  <c r="V31" i="4"/>
  <c r="U31" i="4"/>
  <c r="T31" i="4"/>
  <c r="X30" i="4"/>
  <c r="AD30" i="4" s="1"/>
  <c r="W30" i="4"/>
  <c r="AC30" i="4" s="1"/>
  <c r="V30" i="4"/>
  <c r="AB30" i="4" s="1"/>
  <c r="U30" i="4"/>
  <c r="AA30" i="4" s="1"/>
  <c r="T30" i="4"/>
  <c r="Z30" i="4" s="1"/>
  <c r="AD29" i="4"/>
  <c r="AC29" i="4"/>
  <c r="AB29" i="4"/>
  <c r="AA29" i="4"/>
  <c r="Z29" i="4"/>
  <c r="X29" i="4"/>
  <c r="W29" i="4"/>
  <c r="V29" i="4"/>
  <c r="U29" i="4"/>
  <c r="T29" i="4"/>
  <c r="AA28" i="4"/>
  <c r="Z28" i="4"/>
  <c r="X28" i="4"/>
  <c r="AD28" i="4" s="1"/>
  <c r="W28" i="4"/>
  <c r="AC28" i="4" s="1"/>
  <c r="V28" i="4"/>
  <c r="AB28" i="4" s="1"/>
  <c r="U28" i="4"/>
  <c r="T28" i="4"/>
  <c r="AD27" i="4"/>
  <c r="X27" i="4"/>
  <c r="W27" i="4"/>
  <c r="AC27" i="4" s="1"/>
  <c r="V27" i="4"/>
  <c r="AB27" i="4" s="1"/>
  <c r="U27" i="4"/>
  <c r="AA27" i="4" s="1"/>
  <c r="T27" i="4"/>
  <c r="Z27" i="4" s="1"/>
  <c r="AD26" i="4"/>
  <c r="AC26" i="4"/>
  <c r="AB26" i="4"/>
  <c r="AA26" i="4"/>
  <c r="Z26" i="4"/>
  <c r="X26" i="4"/>
  <c r="W26" i="4"/>
  <c r="V26" i="4"/>
  <c r="U26" i="4"/>
  <c r="T26" i="4"/>
  <c r="X25" i="4"/>
  <c r="AD25" i="4" s="1"/>
  <c r="W25" i="4"/>
  <c r="AC25" i="4" s="1"/>
  <c r="V25" i="4"/>
  <c r="AB25" i="4" s="1"/>
  <c r="U25" i="4"/>
  <c r="AA25" i="4" s="1"/>
  <c r="T25" i="4"/>
  <c r="Z25" i="4" s="1"/>
  <c r="AD24" i="4"/>
  <c r="AC24" i="4"/>
  <c r="AB24" i="4"/>
  <c r="X24" i="4"/>
  <c r="W24" i="4"/>
  <c r="V24" i="4"/>
  <c r="U24" i="4"/>
  <c r="AA24" i="4" s="1"/>
  <c r="T24" i="4"/>
  <c r="Z24" i="4" s="1"/>
  <c r="AC23" i="4"/>
  <c r="AB23" i="4"/>
  <c r="AA23" i="4"/>
  <c r="Z23" i="4"/>
  <c r="X23" i="4"/>
  <c r="AD23" i="4" s="1"/>
  <c r="W23" i="4"/>
  <c r="V23" i="4"/>
  <c r="U23" i="4"/>
  <c r="T23" i="4"/>
  <c r="X22" i="4"/>
  <c r="AD22" i="4" s="1"/>
  <c r="W22" i="4"/>
  <c r="AC22" i="4" s="1"/>
  <c r="V22" i="4"/>
  <c r="AB22" i="4" s="1"/>
  <c r="U22" i="4"/>
  <c r="AA22" i="4" s="1"/>
  <c r="T22" i="4"/>
  <c r="Z22" i="4" s="1"/>
  <c r="AN21" i="4"/>
  <c r="X21" i="4"/>
  <c r="AD21" i="4" s="1"/>
  <c r="W21" i="4"/>
  <c r="AC21" i="4" s="1"/>
  <c r="V21" i="4"/>
  <c r="AB21" i="4" s="1"/>
  <c r="U21" i="4"/>
  <c r="AA21" i="4" s="1"/>
  <c r="T21" i="4"/>
  <c r="Z21" i="4" s="1"/>
  <c r="AJ20" i="4"/>
  <c r="AJ21" i="4" s="1"/>
  <c r="AI20" i="4"/>
  <c r="AI21" i="4" s="1"/>
  <c r="AH20" i="4"/>
  <c r="AH21" i="4" s="1"/>
  <c r="AG20" i="4"/>
  <c r="AG21" i="4" s="1"/>
  <c r="X20" i="4"/>
  <c r="AD20" i="4" s="1"/>
  <c r="W20" i="4"/>
  <c r="AC20" i="4" s="1"/>
  <c r="V20" i="4"/>
  <c r="AB20" i="4" s="1"/>
  <c r="U20" i="4"/>
  <c r="AA20" i="4" s="1"/>
  <c r="T20" i="4"/>
  <c r="Z20" i="4" s="1"/>
  <c r="AC19" i="4"/>
  <c r="AB19" i="4"/>
  <c r="AA19" i="4"/>
  <c r="Z19" i="4"/>
  <c r="X19" i="4"/>
  <c r="AD19" i="4" s="1"/>
  <c r="W19" i="4"/>
  <c r="V19" i="4"/>
  <c r="U19" i="4"/>
  <c r="T19" i="4"/>
  <c r="AN18" i="4"/>
  <c r="AC18" i="4"/>
  <c r="AB18" i="4"/>
  <c r="AA18" i="4"/>
  <c r="Z18" i="4"/>
  <c r="X18" i="4"/>
  <c r="AD18" i="4" s="1"/>
  <c r="W18" i="4"/>
  <c r="V18" i="4"/>
  <c r="U18" i="4"/>
  <c r="T18" i="4"/>
  <c r="AB17" i="4"/>
  <c r="AA17" i="4"/>
  <c r="Z17" i="4"/>
  <c r="X17" i="4"/>
  <c r="AD17" i="4" s="1"/>
  <c r="W17" i="4"/>
  <c r="AC17" i="4" s="1"/>
  <c r="V17" i="4"/>
  <c r="U17" i="4"/>
  <c r="T17" i="4"/>
  <c r="AB16" i="4"/>
  <c r="AA16" i="4"/>
  <c r="Z16" i="4"/>
  <c r="X16" i="4"/>
  <c r="AD16" i="4" s="1"/>
  <c r="W16" i="4"/>
  <c r="AC16" i="4" s="1"/>
  <c r="V16" i="4"/>
  <c r="U16" i="4"/>
  <c r="T16" i="4"/>
  <c r="AA15" i="4"/>
  <c r="Z15" i="4"/>
  <c r="X15" i="4"/>
  <c r="AD15" i="4" s="1"/>
  <c r="W15" i="4"/>
  <c r="AC15" i="4" s="1"/>
  <c r="V15" i="4"/>
  <c r="AB15" i="4" s="1"/>
  <c r="U15" i="4"/>
  <c r="T15" i="4"/>
  <c r="Z14" i="4"/>
  <c r="X14" i="4"/>
  <c r="AD14" i="4" s="1"/>
  <c r="W14" i="4"/>
  <c r="AC14" i="4" s="1"/>
  <c r="V14" i="4"/>
  <c r="AB14" i="4" s="1"/>
  <c r="U14" i="4"/>
  <c r="AA14" i="4" s="1"/>
  <c r="T14" i="4"/>
  <c r="AD13" i="4"/>
  <c r="AC13" i="4"/>
  <c r="AB13" i="4"/>
  <c r="AA13" i="4"/>
  <c r="Z13" i="4"/>
  <c r="X13" i="4"/>
  <c r="W13" i="4"/>
  <c r="V13" i="4"/>
  <c r="U13" i="4"/>
  <c r="T13" i="4"/>
  <c r="AD12" i="4"/>
  <c r="AC12" i="4"/>
  <c r="AB12" i="4"/>
  <c r="AA12" i="4"/>
  <c r="X12" i="4"/>
  <c r="W12" i="4"/>
  <c r="V12" i="4"/>
  <c r="U12" i="4"/>
  <c r="T12" i="4"/>
  <c r="Z12" i="4" s="1"/>
  <c r="AD11" i="4"/>
  <c r="X11" i="4"/>
  <c r="W11" i="4"/>
  <c r="AC11" i="4" s="1"/>
  <c r="V11" i="4"/>
  <c r="AB11" i="4" s="1"/>
  <c r="U11" i="4"/>
  <c r="AA11" i="4" s="1"/>
  <c r="T11" i="4"/>
  <c r="Z11" i="4" s="1"/>
  <c r="AN10" i="4"/>
  <c r="AI10" i="4"/>
  <c r="AH10" i="4"/>
  <c r="Z10" i="4"/>
  <c r="X10" i="4"/>
  <c r="AD10" i="4" s="1"/>
  <c r="W10" i="4"/>
  <c r="AC10" i="4" s="1"/>
  <c r="V10" i="4"/>
  <c r="AB10" i="4" s="1"/>
  <c r="U10" i="4"/>
  <c r="AA10" i="4" s="1"/>
  <c r="T10" i="4"/>
  <c r="AN9" i="4"/>
  <c r="AM9" i="4"/>
  <c r="AM10" i="4" s="1"/>
  <c r="AL9" i="4"/>
  <c r="AL10" i="4" s="1"/>
  <c r="AK9" i="4"/>
  <c r="AK10" i="4" s="1"/>
  <c r="AJ9" i="4"/>
  <c r="AJ10" i="4" s="1"/>
  <c r="AI9" i="4"/>
  <c r="AH9" i="4"/>
  <c r="AG9" i="4"/>
  <c r="AG10" i="4" s="1"/>
  <c r="AB9" i="4"/>
  <c r="AA9" i="4"/>
  <c r="Z9" i="4"/>
  <c r="X9" i="4"/>
  <c r="AD9" i="4" s="1"/>
  <c r="W9" i="4"/>
  <c r="AC9" i="4" s="1"/>
  <c r="V9" i="4"/>
  <c r="U9" i="4"/>
  <c r="T9" i="4"/>
  <c r="AD8" i="4"/>
  <c r="AC8" i="4"/>
  <c r="AB8" i="4"/>
  <c r="X8" i="4"/>
  <c r="W8" i="4"/>
  <c r="V8" i="4"/>
  <c r="U8" i="4"/>
  <c r="AA8" i="4" s="1"/>
  <c r="T8" i="4"/>
  <c r="Z8" i="4" s="1"/>
  <c r="AD7" i="4"/>
  <c r="AC7" i="4"/>
  <c r="Z7" i="4"/>
  <c r="X7" i="4"/>
  <c r="W7" i="4"/>
  <c r="V7" i="4"/>
  <c r="AB7" i="4" s="1"/>
  <c r="U7" i="4"/>
  <c r="AA7" i="4" s="1"/>
  <c r="T7" i="4"/>
  <c r="Z6" i="4"/>
  <c r="X6" i="4"/>
  <c r="AD6" i="4" s="1"/>
  <c r="W6" i="4"/>
  <c r="AC6" i="4" s="1"/>
  <c r="V6" i="4"/>
  <c r="AB6" i="4" s="1"/>
  <c r="U6" i="4"/>
  <c r="AA6" i="4" s="1"/>
  <c r="AH18" i="4" s="1"/>
  <c r="T6" i="4"/>
  <c r="AK5" i="4"/>
  <c r="AJ5" i="4"/>
  <c r="AB5" i="4"/>
  <c r="AA5" i="4"/>
  <c r="Z5" i="4"/>
  <c r="X5" i="4"/>
  <c r="AD5" i="4" s="1"/>
  <c r="W5" i="4"/>
  <c r="AC5" i="4" s="1"/>
  <c r="V5" i="4"/>
  <c r="U5" i="4"/>
  <c r="T5" i="4"/>
  <c r="AN4" i="4"/>
  <c r="AN5" i="4" s="1"/>
  <c r="AM4" i="4"/>
  <c r="AM5" i="4" s="1"/>
  <c r="AL4" i="4"/>
  <c r="AL5" i="4" s="1"/>
  <c r="AK4" i="4"/>
  <c r="AJ4" i="4"/>
  <c r="AI4" i="4"/>
  <c r="AI5" i="4" s="1"/>
  <c r="AH4" i="4"/>
  <c r="AH5" i="4" s="1"/>
  <c r="AG4" i="4"/>
  <c r="AG5" i="4" s="1"/>
  <c r="AD4" i="4"/>
  <c r="AC4" i="4"/>
  <c r="AB4" i="4"/>
  <c r="AA4" i="4"/>
  <c r="X4" i="4"/>
  <c r="AK20" i="4" s="1"/>
  <c r="AK21" i="4" s="1"/>
  <c r="W4" i="4"/>
  <c r="V4" i="4"/>
  <c r="U4" i="4"/>
  <c r="T4" i="4"/>
  <c r="AG14" i="4" s="1"/>
  <c r="AG15" i="4" s="1"/>
  <c r="AI18" i="4" l="1"/>
  <c r="AJ17" i="4"/>
  <c r="AI17" i="4"/>
  <c r="AH17" i="4"/>
  <c r="AJ18" i="4"/>
  <c r="AK17" i="4"/>
  <c r="AK18" i="4"/>
  <c r="AH14" i="4"/>
  <c r="AH15" i="4" s="1"/>
  <c r="AI14" i="4"/>
  <c r="AI15" i="4" s="1"/>
  <c r="AK14" i="4"/>
  <c r="AK15" i="4" s="1"/>
  <c r="AJ14" i="4"/>
  <c r="AJ15" i="4" s="1"/>
  <c r="Z4" i="4"/>
  <c r="AG17" i="4" l="1"/>
  <c r="AG18" i="4"/>
  <c r="V13" i="3"/>
  <c r="V11" i="3"/>
  <c r="V3" i="3"/>
  <c r="V4" i="3"/>
  <c r="V5" i="3"/>
  <c r="V6" i="3"/>
  <c r="V7" i="3"/>
  <c r="V8" i="3"/>
  <c r="V9" i="3"/>
  <c r="V10" i="3"/>
  <c r="V12" i="3"/>
  <c r="V14" i="3"/>
  <c r="V15" i="3"/>
  <c r="V17" i="3"/>
  <c r="W2" i="3" s="1"/>
  <c r="V18" i="3"/>
  <c r="V2" i="3"/>
  <c r="N20" i="3"/>
  <c r="N3" i="3" s="1"/>
  <c r="S8" i="3" s="1"/>
  <c r="F10" i="3"/>
  <c r="F11" i="3"/>
  <c r="F12" i="3"/>
  <c r="F13" i="3"/>
  <c r="F14" i="3"/>
  <c r="F15" i="3"/>
  <c r="F16" i="3"/>
  <c r="F17" i="3"/>
  <c r="F18" i="3"/>
  <c r="F2" i="3"/>
  <c r="F3" i="3"/>
  <c r="F4" i="3"/>
  <c r="F5" i="3"/>
  <c r="F6" i="3"/>
  <c r="F7" i="3"/>
  <c r="F8" i="3"/>
  <c r="F9" i="3"/>
  <c r="AC13" i="3"/>
  <c r="Y4" i="3"/>
  <c r="Z4" i="3" s="1"/>
  <c r="AD9" i="3"/>
  <c r="Y16" i="3"/>
  <c r="Z16" i="3" s="1"/>
  <c r="Y12" i="3"/>
  <c r="Z12" i="3" s="1"/>
  <c r="O11" i="3"/>
  <c r="P11" i="3"/>
  <c r="I20" i="3"/>
  <c r="N21" i="3"/>
  <c r="M11" i="3"/>
  <c r="P2" i="3"/>
  <c r="O2" i="3"/>
  <c r="P16" i="3"/>
  <c r="O16" i="3"/>
  <c r="M16" i="3"/>
  <c r="N16" i="3" s="1"/>
  <c r="H16" i="3"/>
  <c r="H17" i="3"/>
  <c r="H18" i="3"/>
  <c r="H15" i="3"/>
  <c r="H11" i="3"/>
  <c r="H12" i="3"/>
  <c r="H13" i="3"/>
  <c r="H14" i="3"/>
  <c r="M2" i="3"/>
  <c r="N2" i="3" s="1"/>
  <c r="H4" i="3"/>
  <c r="H9" i="3"/>
  <c r="H2" i="3"/>
  <c r="H3" i="3"/>
  <c r="H5" i="3"/>
  <c r="H6" i="3"/>
  <c r="H7" i="3"/>
  <c r="H8" i="3"/>
  <c r="H10" i="3"/>
  <c r="D10" i="2"/>
  <c r="D9" i="2"/>
  <c r="D3" i="2"/>
  <c r="D4" i="2"/>
  <c r="D5" i="2"/>
  <c r="D6" i="2"/>
  <c r="D2" i="2"/>
  <c r="C7" i="1"/>
  <c r="E7" i="1"/>
  <c r="B7" i="1"/>
  <c r="C6" i="1"/>
  <c r="E6" i="1"/>
  <c r="B6" i="1"/>
  <c r="E3" i="1"/>
  <c r="E4" i="1"/>
  <c r="E5" i="1"/>
  <c r="E2" i="1"/>
  <c r="N17" i="3" l="1"/>
  <c r="Y5" i="3"/>
  <c r="Z5" i="3" s="1"/>
  <c r="Y3" i="3"/>
  <c r="Z3" i="3" s="1"/>
  <c r="S11" i="3"/>
  <c r="Y15" i="3"/>
  <c r="Z15" i="3" s="1"/>
  <c r="Y11" i="3"/>
  <c r="Z11" i="3" s="1"/>
  <c r="Y13" i="3"/>
  <c r="Z13" i="3" s="1"/>
  <c r="Y14" i="3"/>
  <c r="Z14" i="3" s="1"/>
  <c r="Y10" i="3"/>
  <c r="Z10" i="3" s="1"/>
  <c r="Y9" i="3"/>
  <c r="Z9" i="3" s="1"/>
  <c r="Y7" i="3"/>
  <c r="Z7" i="3" s="1"/>
  <c r="Y2" i="3"/>
  <c r="Z2" i="3" s="1"/>
  <c r="Y8" i="3"/>
  <c r="Z8" i="3" s="1"/>
  <c r="Y6" i="3"/>
  <c r="Z6" i="3" s="1"/>
  <c r="Q16" i="3"/>
  <c r="Y18" i="3"/>
  <c r="Z18" i="3" s="1"/>
  <c r="Y17" i="3"/>
  <c r="Z17" i="3" s="1"/>
  <c r="AB2" i="3" l="1"/>
  <c r="S13" i="3"/>
  <c r="S4" i="3"/>
  <c r="S6" i="3"/>
  <c r="S10" i="3"/>
  <c r="S9" i="3"/>
  <c r="S7" i="3"/>
  <c r="S5" i="3"/>
  <c r="S2" i="3"/>
  <c r="S3" i="3"/>
  <c r="S12" i="3"/>
  <c r="S15" i="3"/>
  <c r="S14" i="3"/>
  <c r="AA2" i="3"/>
  <c r="S16" i="3" l="1"/>
  <c r="S18" i="3"/>
  <c r="S17" i="3"/>
  <c r="X2" i="3"/>
</calcChain>
</file>

<file path=xl/sharedStrings.xml><?xml version="1.0" encoding="utf-8"?>
<sst xmlns="http://schemas.openxmlformats.org/spreadsheetml/2006/main" count="390" uniqueCount="143">
  <si>
    <t>NORTH TORONTO TREATMENT PLANT</t>
  </si>
  <si>
    <t>HIGHLAND CREEK TREATMENT PLANT</t>
  </si>
  <si>
    <t>HUMBER TREATMENT PLANT</t>
  </si>
  <si>
    <t>ASHBRIDGES BAY WASTEWATER TREATMENT PLANT</t>
  </si>
  <si>
    <t>COD</t>
  </si>
  <si>
    <t>Flowrate ML/day</t>
  </si>
  <si>
    <t>BOD</t>
  </si>
  <si>
    <t>Year</t>
  </si>
  <si>
    <t>Average</t>
  </si>
  <si>
    <t>STD</t>
  </si>
  <si>
    <t>食水</t>
  </si>
  <si>
    <t>海水冲厕</t>
  </si>
  <si>
    <t>总用水</t>
  </si>
  <si>
    <t>平均</t>
  </si>
  <si>
    <t>SD</t>
  </si>
  <si>
    <t>No.</t>
  </si>
  <si>
    <t>Cities</t>
  </si>
  <si>
    <t>Catchment Name</t>
  </si>
  <si>
    <t>WWTP flow [ML/d]</t>
  </si>
  <si>
    <t>Catchment gross floor area [km2]</t>
  </si>
  <si>
    <t>q [m3/m2/d]</t>
  </si>
  <si>
    <t>WW production [m3/cap/day]</t>
  </si>
  <si>
    <t>Population</t>
  </si>
  <si>
    <t>WW production [ML/d]</t>
  </si>
  <si>
    <t>I/I</t>
  </si>
  <si>
    <t>Hong Kong</t>
  </si>
  <si>
    <t>Shatin STW</t>
  </si>
  <si>
    <t>Taipo STW</t>
  </si>
  <si>
    <t>Shek Wu Hui STW</t>
  </si>
  <si>
    <t>Yuen Long STW</t>
  </si>
  <si>
    <t>San Wai STW</t>
  </si>
  <si>
    <t>Pillar Point STW</t>
  </si>
  <si>
    <t>Sham Tseng STW</t>
  </si>
  <si>
    <t>Stonecutter island STW</t>
  </si>
  <si>
    <t>Sai Kung STW</t>
  </si>
  <si>
    <t>Toronto</t>
  </si>
  <si>
    <t>Ashbridges Bay Wastewater Treatment Plant</t>
  </si>
  <si>
    <t>North Toronto Wastewater Treatment Plant</t>
  </si>
  <si>
    <t>Humber Wastewater Treatment Plant</t>
  </si>
  <si>
    <t>Highland Creek Treatment Plant</t>
  </si>
  <si>
    <t>Lakeview Wastewater Treatment Plant</t>
  </si>
  <si>
    <t>Los Angelos</t>
  </si>
  <si>
    <t>Hyperion Water Reclamation Plant</t>
  </si>
  <si>
    <t>Los Angeles-Glendale Reclamation Plant</t>
  </si>
  <si>
    <t>Donald C Tillman Water Reclamation Plant</t>
  </si>
  <si>
    <t>q_ave [m3/m2/d]</t>
  </si>
  <si>
    <t>Cap/A [cap/m2]</t>
  </si>
  <si>
    <t>m3/cap/d</t>
  </si>
  <si>
    <t>Predicted flowrate [ML/d]</t>
  </si>
  <si>
    <t>Ref.</t>
  </si>
  <si>
    <t>WSD Annual Report 2023/24</t>
  </si>
  <si>
    <t>std</t>
  </si>
  <si>
    <t>[CMS]</t>
  </si>
  <si>
    <t>流量m3/h</t>
  </si>
  <si>
    <t>DS，mgS/L</t>
  </si>
  <si>
    <t>时间</t>
  </si>
  <si>
    <t>CW</t>
  </si>
  <si>
    <t>SKW</t>
  </si>
  <si>
    <t>TKO</t>
  </si>
  <si>
    <t>KT</t>
  </si>
  <si>
    <t>TKW</t>
  </si>
  <si>
    <t>KC</t>
  </si>
  <si>
    <t>TY</t>
  </si>
  <si>
    <t>SCISTW</t>
  </si>
  <si>
    <t>CW+SKW</t>
  </si>
  <si>
    <t>CW+SKW+TKO+KT</t>
  </si>
  <si>
    <t>CW+SKW+TKO+KT+TKW</t>
  </si>
  <si>
    <t>KC+TY</t>
  </si>
  <si>
    <t>FTP7000002</t>
  </si>
  <si>
    <t>FTP7000000</t>
  </si>
  <si>
    <t>FTP4000060</t>
  </si>
  <si>
    <t>FTP4000083</t>
  </si>
  <si>
    <t>FTP4000340</t>
  </si>
  <si>
    <t>FTP4000086</t>
  </si>
  <si>
    <t>FTP4000100</t>
  </si>
  <si>
    <t>m3/h</t>
  </si>
  <si>
    <t>m3/d</t>
  </si>
  <si>
    <t>MP1</t>
  </si>
  <si>
    <t>MP2</t>
  </si>
  <si>
    <t>MP3</t>
  </si>
  <si>
    <t>MP4</t>
  </si>
  <si>
    <t>MP5</t>
  </si>
  <si>
    <t>Name</t>
  </si>
  <si>
    <t>MP6</t>
  </si>
  <si>
    <t>MP7</t>
  </si>
  <si>
    <t>node_name</t>
  </si>
  <si>
    <t>FGJ7008180</t>
  </si>
  <si>
    <t>FYJ4000080</t>
  </si>
  <si>
    <t>XUS4000600</t>
  </si>
  <si>
    <t>XUS4000540</t>
  </si>
  <si>
    <t>XUS4000520</t>
  </si>
  <si>
    <t>FSH7004880</t>
  </si>
  <si>
    <t>FMH4035426</t>
  </si>
  <si>
    <t>＜0.1</t>
  </si>
  <si>
    <t>&lt;0.1</t>
    <phoneticPr fontId="4" type="noConversion"/>
  </si>
  <si>
    <t>MP8</t>
  </si>
  <si>
    <t>XTS4000306</t>
  </si>
  <si>
    <t>date</t>
  </si>
  <si>
    <t>CW PTW (A段起点)</t>
  </si>
  <si>
    <t>SKW PTW(AB中点)</t>
  </si>
  <si>
    <t>MP2_1</t>
  </si>
  <si>
    <t>KT PTW(CD,BD中点)</t>
  </si>
  <si>
    <t>KT PS(CD,BD中点)</t>
  </si>
  <si>
    <t>TKO PTW (C段开始)</t>
  </si>
  <si>
    <t>KC PTW(G段起点)</t>
  </si>
  <si>
    <t>TKW PTW (DE 段中点)</t>
  </si>
  <si>
    <t>TY PTW (GF段中点)</t>
  </si>
  <si>
    <t>&lt;0.1</t>
  </si>
  <si>
    <t>start</t>
  </si>
  <si>
    <t>XPS4001320</t>
  </si>
  <si>
    <t>PTW</t>
  </si>
  <si>
    <t>SKW PTW</t>
  </si>
  <si>
    <t>KT PTW</t>
  </si>
  <si>
    <t>TKW PTW</t>
  </si>
  <si>
    <t>TY PTW</t>
  </si>
  <si>
    <t>KC PTW</t>
  </si>
  <si>
    <t>CW PTW</t>
  </si>
  <si>
    <t>TKO PTW</t>
  </si>
  <si>
    <t>DO</t>
  </si>
  <si>
    <t>FYJ4000060</t>
  </si>
  <si>
    <t>FSH4000467</t>
  </si>
  <si>
    <t>FSH7001080</t>
  </si>
  <si>
    <t>XPS4000760</t>
  </si>
  <si>
    <t>Location</t>
  </si>
  <si>
    <t>TCOD</t>
  </si>
  <si>
    <t>(mg/L)</t>
  </si>
  <si>
    <t>SCOD</t>
  </si>
  <si>
    <t>VSS</t>
  </si>
  <si>
    <t>Sulfate</t>
  </si>
  <si>
    <t>(mg S/L)</t>
  </si>
  <si>
    <t>pH</t>
  </si>
  <si>
    <r>
      <t>Sewage flowrate (m</t>
    </r>
    <r>
      <rPr>
        <vertAlign val="super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/d)</t>
    </r>
  </si>
  <si>
    <t>CW PTW (inlet)</t>
  </si>
  <si>
    <t>KC PTW (inlet)</t>
  </si>
  <si>
    <t>KT PTW (inlet)</t>
  </si>
  <si>
    <t>SKW PTW (inlet)</t>
  </si>
  <si>
    <t>TKO PTW(inlet)</t>
  </si>
  <si>
    <t>TKW PTW (inlet)</t>
  </si>
  <si>
    <t>TY PTW (inlet)</t>
  </si>
  <si>
    <t>SCISTW (outlet)</t>
  </si>
  <si>
    <t>VFA</t>
  </si>
  <si>
    <t>FSA</t>
  </si>
  <si>
    <t>FSF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</si>
</sst>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_ "/>
    <numFmt numFmtId="166" formatCode="0.0"/>
    <numFmt numFmtId="167" formatCode="[$-409]d\-mmm;@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8"/>
      <color theme="1"/>
      <name val="Times New Roman"/>
      <family val="1"/>
    </font>
    <font>
      <sz val="8"/>
      <color rgb="FFFF0000"/>
      <name val="Times New Roman"/>
      <family val="1"/>
    </font>
    <font>
      <sz val="8"/>
      <name val="Times New Roman"/>
      <family val="1"/>
    </font>
    <font>
      <sz val="8"/>
      <color rgb="FFC00000"/>
      <name val="Times New Roman"/>
      <family val="1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/>
  </cellStyleXfs>
  <cellXfs count="8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11" fontId="3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1" fontId="4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1" fontId="3" fillId="0" borderId="1" xfId="0" applyNumberFormat="1" applyFont="1" applyBorder="1" applyAlignment="1">
      <alignment vertical="center" wrapText="1"/>
    </xf>
    <xf numFmtId="0" fontId="7" fillId="0" borderId="0" xfId="0" applyFont="1">
      <alignment vertical="center"/>
    </xf>
    <xf numFmtId="164" fontId="0" fillId="0" borderId="1" xfId="0" applyNumberFormat="1" applyBorder="1">
      <alignment vertical="center"/>
    </xf>
    <xf numFmtId="164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6" fillId="0" borderId="1" xfId="0" applyFont="1" applyBorder="1">
      <alignment vertical="center"/>
    </xf>
    <xf numFmtId="0" fontId="3" fillId="0" borderId="0" xfId="0" applyFont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2" fontId="4" fillId="2" borderId="1" xfId="0" applyNumberFormat="1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0" xfId="1" applyAlignment="1">
      <alignment wrapText="1"/>
    </xf>
    <xf numFmtId="22" fontId="1" fillId="0" borderId="0" xfId="0" applyNumberFormat="1" applyFont="1" applyAlignment="1"/>
    <xf numFmtId="0" fontId="1" fillId="0" borderId="2" xfId="0" applyFont="1" applyBorder="1" applyAlignment="1"/>
    <xf numFmtId="0" fontId="9" fillId="0" borderId="0" xfId="0" applyFont="1" applyAlignment="1"/>
    <xf numFmtId="0" fontId="1" fillId="0" borderId="0" xfId="0" applyFont="1" applyAlignment="1"/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0" xfId="0" applyAlignment="1"/>
    <xf numFmtId="22" fontId="0" fillId="0" borderId="0" xfId="0" applyNumberFormat="1" applyAlignment="1"/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" xfId="2" applyFont="1" applyBorder="1" applyAlignment="1">
      <alignment horizontal="center"/>
    </xf>
    <xf numFmtId="166" fontId="11" fillId="0" borderId="1" xfId="2" applyNumberFormat="1" applyFont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167" fontId="11" fillId="2" borderId="1" xfId="0" applyNumberFormat="1" applyFont="1" applyFill="1" applyBorder="1" applyAlignment="1">
      <alignment horizontal="center"/>
    </xf>
    <xf numFmtId="167" fontId="11" fillId="0" borderId="1" xfId="2" applyNumberFormat="1" applyFont="1" applyBorder="1" applyAlignment="1">
      <alignment horizontal="center"/>
    </xf>
    <xf numFmtId="0" fontId="13" fillId="0" borderId="0" xfId="0" applyFont="1" applyAlignment="1"/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66" fontId="15" fillId="0" borderId="1" xfId="0" applyNumberFormat="1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165" fontId="15" fillId="0" borderId="1" xfId="0" applyNumberFormat="1" applyFont="1" applyBorder="1" applyAlignment="1">
      <alignment horizontal="center"/>
    </xf>
    <xf numFmtId="0" fontId="15" fillId="0" borderId="1" xfId="2" applyFont="1" applyBorder="1" applyAlignment="1">
      <alignment horizontal="center"/>
    </xf>
    <xf numFmtId="166" fontId="15" fillId="0" borderId="1" xfId="2" applyNumberFormat="1" applyFont="1" applyBorder="1" applyAlignment="1">
      <alignment horizontal="center"/>
    </xf>
    <xf numFmtId="0" fontId="13" fillId="0" borderId="0" xfId="0" applyFont="1">
      <alignment vertical="center"/>
    </xf>
    <xf numFmtId="165" fontId="11" fillId="0" borderId="1" xfId="2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166" fontId="11" fillId="0" borderId="0" xfId="2" applyNumberFormat="1" applyFont="1" applyAlignment="1">
      <alignment horizontal="center"/>
    </xf>
    <xf numFmtId="165" fontId="11" fillId="2" borderId="1" xfId="0" applyNumberFormat="1" applyFont="1" applyFill="1" applyBorder="1" applyAlignment="1">
      <alignment horizontal="center"/>
    </xf>
    <xf numFmtId="165" fontId="11" fillId="0" borderId="0" xfId="2" applyNumberFormat="1" applyFont="1" applyAlignment="1">
      <alignment horizontal="center"/>
    </xf>
    <xf numFmtId="0" fontId="11" fillId="0" borderId="0" xfId="2" applyFont="1" applyAlignment="1">
      <alignment horizontal="center"/>
    </xf>
    <xf numFmtId="22" fontId="0" fillId="3" borderId="0" xfId="0" applyNumberFormat="1" applyFill="1" applyAlignment="1"/>
    <xf numFmtId="0" fontId="0" fillId="3" borderId="0" xfId="0" applyFill="1" applyAlignment="1"/>
    <xf numFmtId="0" fontId="10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0" fontId="16" fillId="0" borderId="0" xfId="0" applyFont="1" applyAlignment="1">
      <alignment horizontal="justify" vertical="center" wrapText="1"/>
    </xf>
    <xf numFmtId="0" fontId="16" fillId="0" borderId="11" xfId="0" applyFont="1" applyBorder="1" applyAlignment="1">
      <alignment horizontal="justify" vertical="center" wrapText="1"/>
    </xf>
    <xf numFmtId="0" fontId="16" fillId="0" borderId="12" xfId="0" applyFont="1" applyBorder="1" applyAlignment="1">
      <alignment horizontal="justify" vertical="center" wrapText="1"/>
    </xf>
    <xf numFmtId="3" fontId="16" fillId="0" borderId="0" xfId="0" applyNumberFormat="1" applyFont="1" applyAlignment="1">
      <alignment horizontal="justify" vertical="center" wrapText="1"/>
    </xf>
    <xf numFmtId="0" fontId="16" fillId="0" borderId="13" xfId="0" applyFont="1" applyBorder="1" applyAlignment="1">
      <alignment horizontal="justify" vertical="center" wrapText="1"/>
    </xf>
    <xf numFmtId="3" fontId="16" fillId="0" borderId="13" xfId="0" applyNumberFormat="1" applyFont="1" applyBorder="1" applyAlignment="1">
      <alignment horizontal="justify" vertical="center" wrapText="1"/>
    </xf>
    <xf numFmtId="0" fontId="16" fillId="0" borderId="11" xfId="0" applyFont="1" applyBorder="1" applyAlignment="1">
      <alignment horizontal="justify" vertical="center" wrapText="1"/>
    </xf>
    <xf numFmtId="0" fontId="16" fillId="0" borderId="12" xfId="0" applyFont="1" applyBorder="1" applyAlignment="1">
      <alignment horizontal="justify" vertical="center" wrapText="1"/>
    </xf>
  </cellXfs>
  <cellStyles count="3">
    <cellStyle name="常规" xfId="0" builtinId="0"/>
    <cellStyle name="常规 2" xfId="2" xr:uid="{11C69051-25CE-40B3-A6ED-F8B2C6BC2641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'WWTP flow'!$D$2:$D$10</c:f>
              <c:numCache>
                <c:formatCode>General</c:formatCode>
                <c:ptCount val="9"/>
                <c:pt idx="0">
                  <c:v>40.1</c:v>
                </c:pt>
                <c:pt idx="1">
                  <c:v>16.7</c:v>
                </c:pt>
                <c:pt idx="2">
                  <c:v>20.100000000000001</c:v>
                </c:pt>
                <c:pt idx="3">
                  <c:v>15.7</c:v>
                </c:pt>
                <c:pt idx="4">
                  <c:v>17.3</c:v>
                </c:pt>
                <c:pt idx="5">
                  <c:v>50.8</c:v>
                </c:pt>
                <c:pt idx="6">
                  <c:v>4.0999999999999996</c:v>
                </c:pt>
                <c:pt idx="7">
                  <c:v>312.89999999999998</c:v>
                </c:pt>
                <c:pt idx="8">
                  <c:v>2.2999999999999998</c:v>
                </c:pt>
              </c:numCache>
            </c:numRef>
          </c:xVal>
          <c:yVal>
            <c:numRef>
              <c:f>'WWTP flow'!$E$2:$E$10</c:f>
              <c:numCache>
                <c:formatCode>General</c:formatCode>
                <c:ptCount val="9"/>
                <c:pt idx="0">
                  <c:v>250.8</c:v>
                </c:pt>
                <c:pt idx="1">
                  <c:v>104.4</c:v>
                </c:pt>
                <c:pt idx="2">
                  <c:v>80.400000000000006</c:v>
                </c:pt>
                <c:pt idx="3">
                  <c:v>23.5</c:v>
                </c:pt>
                <c:pt idx="4">
                  <c:v>136.1</c:v>
                </c:pt>
                <c:pt idx="5">
                  <c:v>179.5</c:v>
                </c:pt>
                <c:pt idx="6">
                  <c:v>8.6999999999999993</c:v>
                </c:pt>
                <c:pt idx="7">
                  <c:v>1916.49045769231</c:v>
                </c:pt>
                <c:pt idx="8">
                  <c:v>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F4-4E4C-938C-224D4962F478}"/>
            </c:ext>
          </c:extLst>
        </c:ser>
        <c:ser>
          <c:idx val="1"/>
          <c:order val="1"/>
          <c:tx>
            <c:strRef>
              <c:f>'WWTP flow'!$B$11</c:f>
              <c:strCache>
                <c:ptCount val="1"/>
                <c:pt idx="0">
                  <c:v>Toronto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'WWTP flow'!$D$11:$D$14</c:f>
              <c:numCache>
                <c:formatCode>General</c:formatCode>
                <c:ptCount val="4"/>
                <c:pt idx="0">
                  <c:v>372.8</c:v>
                </c:pt>
                <c:pt idx="1">
                  <c:v>38.9</c:v>
                </c:pt>
                <c:pt idx="2">
                  <c:v>129.69999999999999</c:v>
                </c:pt>
                <c:pt idx="3">
                  <c:v>82.2</c:v>
                </c:pt>
              </c:numCache>
            </c:numRef>
          </c:xVal>
          <c:yVal>
            <c:numRef>
              <c:f>'WWTP flow'!$E$11:$E$14</c:f>
              <c:numCache>
                <c:formatCode>General</c:formatCode>
                <c:ptCount val="4"/>
                <c:pt idx="0">
                  <c:v>576.29</c:v>
                </c:pt>
                <c:pt idx="1">
                  <c:v>18.3</c:v>
                </c:pt>
                <c:pt idx="2">
                  <c:v>286.5</c:v>
                </c:pt>
                <c:pt idx="3">
                  <c:v>184.8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F4-4E4C-938C-224D4962F478}"/>
            </c:ext>
          </c:extLst>
        </c:ser>
        <c:ser>
          <c:idx val="2"/>
          <c:order val="2"/>
          <c:tx>
            <c:strRef>
              <c:f>'WWTP flow'!$B$16</c:f>
              <c:strCache>
                <c:ptCount val="1"/>
                <c:pt idx="0">
                  <c:v>Los Angelos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'WWTP flow'!$D$16:$D$18</c:f>
              <c:numCache>
                <c:formatCode>General</c:formatCode>
                <c:ptCount val="3"/>
                <c:pt idx="0">
                  <c:v>374.8</c:v>
                </c:pt>
                <c:pt idx="1">
                  <c:v>79.5</c:v>
                </c:pt>
                <c:pt idx="2">
                  <c:v>154.6</c:v>
                </c:pt>
              </c:numCache>
            </c:numRef>
          </c:xVal>
          <c:yVal>
            <c:numRef>
              <c:f>'WWTP flow'!$E$16:$E$18</c:f>
              <c:numCache>
                <c:formatCode>General</c:formatCode>
                <c:ptCount val="3"/>
                <c:pt idx="0">
                  <c:v>1040.9000000000001</c:v>
                </c:pt>
                <c:pt idx="1">
                  <c:v>212</c:v>
                </c:pt>
                <c:pt idx="2">
                  <c:v>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F4-4E4C-938C-224D4962F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59487"/>
        <c:axId val="26460927"/>
      </c:scatterChart>
      <c:valAx>
        <c:axId val="2645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0927"/>
        <c:crosses val="autoZero"/>
        <c:crossBetween val="midCat"/>
      </c:valAx>
      <c:valAx>
        <c:axId val="264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'WWTP flow'!$O$2:$O$16</c:f>
              <c:numCache>
                <c:formatCode>General</c:formatCode>
                <c:ptCount val="15"/>
                <c:pt idx="0" formatCode="0.00E+00">
                  <c:v>5.6424801201923128E-3</c:v>
                </c:pt>
                <c:pt idx="9" formatCode="0.00E+00">
                  <c:v>1.7204094389748398E-3</c:v>
                </c:pt>
                <c:pt idx="14" formatCode="0.00E+00">
                  <c:v>2.7047134176383645E-3</c:v>
                </c:pt>
              </c:numCache>
            </c:numRef>
          </c:xVal>
          <c:yVal>
            <c:numRef>
              <c:f>'WWTP flow'!$P$2:$P$16</c:f>
              <c:numCache>
                <c:formatCode>General</c:formatCode>
                <c:ptCount val="15"/>
                <c:pt idx="0" formatCode="0.00E+00">
                  <c:v>1.5625000000000003E-2</c:v>
                </c:pt>
                <c:pt idx="9" formatCode="0.00E+00">
                  <c:v>4.3756837005782152E-3</c:v>
                </c:pt>
                <c:pt idx="14" formatCode="0.00E+00">
                  <c:v>6.4029348004598459E-3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3C-409D-A1CE-D4BB38595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133775"/>
        <c:axId val="2039138095"/>
      </c:scatterChart>
      <c:valAx>
        <c:axId val="20391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38095"/>
        <c:crosses val="autoZero"/>
        <c:crossBetween val="midCat"/>
      </c:valAx>
      <c:valAx>
        <c:axId val="203913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'WWTP flow'!$E$1</c:f>
              <c:strCache>
                <c:ptCount val="1"/>
                <c:pt idx="0">
                  <c:v>WWTP flow [ML/d]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'WWTP flow'!$C$2:$C$18</c:f>
              <c:strCache>
                <c:ptCount val="17"/>
                <c:pt idx="0">
                  <c:v>Shatin STW</c:v>
                </c:pt>
                <c:pt idx="1">
                  <c:v>Taipo STW</c:v>
                </c:pt>
                <c:pt idx="2">
                  <c:v>Shek Wu Hui STW</c:v>
                </c:pt>
                <c:pt idx="3">
                  <c:v>Yuen Long STW</c:v>
                </c:pt>
                <c:pt idx="4">
                  <c:v>San Wai STW</c:v>
                </c:pt>
                <c:pt idx="5">
                  <c:v>Pillar Point STW</c:v>
                </c:pt>
                <c:pt idx="6">
                  <c:v>Sham Tseng STW</c:v>
                </c:pt>
                <c:pt idx="7">
                  <c:v>Stonecutter island STW</c:v>
                </c:pt>
                <c:pt idx="8">
                  <c:v>Sai Kung STW</c:v>
                </c:pt>
                <c:pt idx="9">
                  <c:v>Ashbridges Bay Wastewater Treatment Plant</c:v>
                </c:pt>
                <c:pt idx="10">
                  <c:v>North Toronto Wastewater Treatment Plant</c:v>
                </c:pt>
                <c:pt idx="11">
                  <c:v>Humber Wastewater Treatment Plant</c:v>
                </c:pt>
                <c:pt idx="12">
                  <c:v>Highland Creek Treatment Plant</c:v>
                </c:pt>
                <c:pt idx="13">
                  <c:v>Lakeview Wastewater Treatment Plant</c:v>
                </c:pt>
                <c:pt idx="14">
                  <c:v>Hyperion Water Reclamation Plant</c:v>
                </c:pt>
                <c:pt idx="15">
                  <c:v>Los Angeles-Glendale Reclamation Plant</c:v>
                </c:pt>
                <c:pt idx="16">
                  <c:v>Donald C Tillman Water Reclamation Plant</c:v>
                </c:pt>
              </c:strCache>
            </c:strRef>
          </c:cat>
          <c:val>
            <c:numRef>
              <c:f>'WWTP flow'!$E$2:$E$18</c:f>
              <c:numCache>
                <c:formatCode>General</c:formatCode>
                <c:ptCount val="17"/>
                <c:pt idx="0">
                  <c:v>250.8</c:v>
                </c:pt>
                <c:pt idx="1">
                  <c:v>104.4</c:v>
                </c:pt>
                <c:pt idx="2">
                  <c:v>80.400000000000006</c:v>
                </c:pt>
                <c:pt idx="3">
                  <c:v>23.5</c:v>
                </c:pt>
                <c:pt idx="4">
                  <c:v>136.1</c:v>
                </c:pt>
                <c:pt idx="5">
                  <c:v>179.5</c:v>
                </c:pt>
                <c:pt idx="6">
                  <c:v>8.6999999999999993</c:v>
                </c:pt>
                <c:pt idx="7">
                  <c:v>1916.49045769231</c:v>
                </c:pt>
                <c:pt idx="8">
                  <c:v>8.5</c:v>
                </c:pt>
                <c:pt idx="9">
                  <c:v>576.29</c:v>
                </c:pt>
                <c:pt idx="10">
                  <c:v>18.3</c:v>
                </c:pt>
                <c:pt idx="11">
                  <c:v>286.5</c:v>
                </c:pt>
                <c:pt idx="12">
                  <c:v>184.8</c:v>
                </c:pt>
                <c:pt idx="13">
                  <c:v>35</c:v>
                </c:pt>
                <c:pt idx="14">
                  <c:v>1040.9000000000001</c:v>
                </c:pt>
                <c:pt idx="15">
                  <c:v>212</c:v>
                </c:pt>
                <c:pt idx="16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B-4367-928C-590349CF98D2}"/>
            </c:ext>
          </c:extLst>
        </c:ser>
        <c:ser>
          <c:idx val="1"/>
          <c:order val="1"/>
          <c:tx>
            <c:strRef>
              <c:f>'WWTP flow'!$R$1</c:f>
              <c:strCache>
                <c:ptCount val="1"/>
                <c:pt idx="0">
                  <c:v>Predicted flowrate [ML/d]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'WWTP flow'!$C$2:$C$18</c:f>
              <c:strCache>
                <c:ptCount val="17"/>
                <c:pt idx="0">
                  <c:v>Shatin STW</c:v>
                </c:pt>
                <c:pt idx="1">
                  <c:v>Taipo STW</c:v>
                </c:pt>
                <c:pt idx="2">
                  <c:v>Shek Wu Hui STW</c:v>
                </c:pt>
                <c:pt idx="3">
                  <c:v>Yuen Long STW</c:v>
                </c:pt>
                <c:pt idx="4">
                  <c:v>San Wai STW</c:v>
                </c:pt>
                <c:pt idx="5">
                  <c:v>Pillar Point STW</c:v>
                </c:pt>
                <c:pt idx="6">
                  <c:v>Sham Tseng STW</c:v>
                </c:pt>
                <c:pt idx="7">
                  <c:v>Stonecutter island STW</c:v>
                </c:pt>
                <c:pt idx="8">
                  <c:v>Sai Kung STW</c:v>
                </c:pt>
                <c:pt idx="9">
                  <c:v>Ashbridges Bay Wastewater Treatment Plant</c:v>
                </c:pt>
                <c:pt idx="10">
                  <c:v>North Toronto Wastewater Treatment Plant</c:v>
                </c:pt>
                <c:pt idx="11">
                  <c:v>Humber Wastewater Treatment Plant</c:v>
                </c:pt>
                <c:pt idx="12">
                  <c:v>Highland Creek Treatment Plant</c:v>
                </c:pt>
                <c:pt idx="13">
                  <c:v>Lakeview Wastewater Treatment Plant</c:v>
                </c:pt>
                <c:pt idx="14">
                  <c:v>Hyperion Water Reclamation Plant</c:v>
                </c:pt>
                <c:pt idx="15">
                  <c:v>Los Angeles-Glendale Reclamation Plant</c:v>
                </c:pt>
                <c:pt idx="16">
                  <c:v>Donald C Tillman Water Reclamation Plant</c:v>
                </c:pt>
              </c:strCache>
            </c:strRef>
          </c:cat>
          <c:val>
            <c:numRef>
              <c:f>'WWTP flow'!$R$2:$R$18</c:f>
              <c:numCache>
                <c:formatCode>0</c:formatCode>
                <c:ptCount val="17"/>
                <c:pt idx="0">
                  <c:v>227.35285190174093</c:v>
                </c:pt>
                <c:pt idx="1">
                  <c:v>94.683107899228759</c:v>
                </c:pt>
                <c:pt idx="2">
                  <c:v>113.95990830985021</c:v>
                </c:pt>
                <c:pt idx="3">
                  <c:v>89.013460719634239</c:v>
                </c:pt>
                <c:pt idx="4">
                  <c:v>98.084896206985505</c:v>
                </c:pt>
                <c:pt idx="5">
                  <c:v>288.01807672340243</c:v>
                </c:pt>
                <c:pt idx="6">
                  <c:v>23.245553436337598</c:v>
                </c:pt>
                <c:pt idx="7">
                  <c:v>1774.0326024951305</c:v>
                </c:pt>
                <c:pt idx="8">
                  <c:v>13.040188513067436</c:v>
                </c:pt>
                <c:pt idx="9">
                  <c:v>620.97795280512582</c:v>
                </c:pt>
                <c:pt idx="10">
                  <c:v>64.796250976715115</c:v>
                </c:pt>
                <c:pt idx="11">
                  <c:v>216.04302703547427</c:v>
                </c:pt>
                <c:pt idx="12">
                  <c:v>136.92164088138773</c:v>
                </c:pt>
                <c:pt idx="13">
                  <c:v>27.151128301297078</c:v>
                </c:pt>
                <c:pt idx="14">
                  <c:v>1013.7265889308591</c:v>
                </c:pt>
                <c:pt idx="15">
                  <c:v>215.02471670225</c:v>
                </c:pt>
                <c:pt idx="16">
                  <c:v>418.14869436689111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CB-4367-928C-590349CF9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861231"/>
        <c:axId val="1090861711"/>
      </c:barChart>
      <c:catAx>
        <c:axId val="109086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861711"/>
        <c:crosses val="autoZero"/>
        <c:auto val="1"/>
        <c:lblAlgn val="ctr"/>
        <c:lblOffset val="100"/>
        <c:noMultiLvlLbl val="0"/>
      </c:catAx>
      <c:valAx>
        <c:axId val="1090861711"/>
        <c:scaling>
          <c:orientation val="minMax"/>
          <c:max val="2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86123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8832626690894405"/>
          <c:y val="6.089184895053585E-2"/>
          <c:w val="0.26967559055118112"/>
          <c:h val="0.153734560158397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31316742473955"/>
          <c:y val="7.1974539767894863E-2"/>
          <c:w val="0.77626773867376864"/>
          <c:h val="0.84112303035291325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0521430339653091"/>
                  <c:y val="1.17074277849160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'WWTP flow'!$E$2:$E$18</c:f>
              <c:numCache>
                <c:formatCode>General</c:formatCode>
                <c:ptCount val="17"/>
                <c:pt idx="0">
                  <c:v>250.8</c:v>
                </c:pt>
                <c:pt idx="1">
                  <c:v>104.4</c:v>
                </c:pt>
                <c:pt idx="2">
                  <c:v>80.400000000000006</c:v>
                </c:pt>
                <c:pt idx="3">
                  <c:v>23.5</c:v>
                </c:pt>
                <c:pt idx="4">
                  <c:v>136.1</c:v>
                </c:pt>
                <c:pt idx="5">
                  <c:v>179.5</c:v>
                </c:pt>
                <c:pt idx="6">
                  <c:v>8.6999999999999993</c:v>
                </c:pt>
                <c:pt idx="7">
                  <c:v>1916.49045769231</c:v>
                </c:pt>
                <c:pt idx="8">
                  <c:v>8.5</c:v>
                </c:pt>
                <c:pt idx="9">
                  <c:v>576.29</c:v>
                </c:pt>
                <c:pt idx="10">
                  <c:v>18.3</c:v>
                </c:pt>
                <c:pt idx="11">
                  <c:v>286.5</c:v>
                </c:pt>
                <c:pt idx="12">
                  <c:v>184.8</c:v>
                </c:pt>
                <c:pt idx="13">
                  <c:v>35</c:v>
                </c:pt>
                <c:pt idx="14">
                  <c:v>1040.9000000000001</c:v>
                </c:pt>
                <c:pt idx="15">
                  <c:v>212</c:v>
                </c:pt>
                <c:pt idx="16">
                  <c:v>394</c:v>
                </c:pt>
              </c:numCache>
            </c:numRef>
          </c:xVal>
          <c:yVal>
            <c:numRef>
              <c:f>'WWTP flow'!$R$2:$R$18</c:f>
              <c:numCache>
                <c:formatCode>0</c:formatCode>
                <c:ptCount val="17"/>
                <c:pt idx="0">
                  <c:v>227.35285190174093</c:v>
                </c:pt>
                <c:pt idx="1">
                  <c:v>94.683107899228759</c:v>
                </c:pt>
                <c:pt idx="2">
                  <c:v>113.95990830985021</c:v>
                </c:pt>
                <c:pt idx="3">
                  <c:v>89.013460719634239</c:v>
                </c:pt>
                <c:pt idx="4">
                  <c:v>98.084896206985505</c:v>
                </c:pt>
                <c:pt idx="5">
                  <c:v>288.01807672340243</c:v>
                </c:pt>
                <c:pt idx="6">
                  <c:v>23.245553436337598</c:v>
                </c:pt>
                <c:pt idx="7">
                  <c:v>1774.0326024951305</c:v>
                </c:pt>
                <c:pt idx="8">
                  <c:v>13.040188513067436</c:v>
                </c:pt>
                <c:pt idx="9">
                  <c:v>620.97795280512582</c:v>
                </c:pt>
                <c:pt idx="10">
                  <c:v>64.796250976715115</c:v>
                </c:pt>
                <c:pt idx="11">
                  <c:v>216.04302703547427</c:v>
                </c:pt>
                <c:pt idx="12">
                  <c:v>136.92164088138773</c:v>
                </c:pt>
                <c:pt idx="13">
                  <c:v>27.151128301297078</c:v>
                </c:pt>
                <c:pt idx="14">
                  <c:v>1013.7265889308591</c:v>
                </c:pt>
                <c:pt idx="15">
                  <c:v>215.02471670225</c:v>
                </c:pt>
                <c:pt idx="16">
                  <c:v>418.14869436689111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99-4B9A-B9F9-A9BA7B3D5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13999"/>
        <c:axId val="116712079"/>
      </c:scatterChart>
      <c:valAx>
        <c:axId val="11671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2079"/>
        <c:crosses val="autoZero"/>
        <c:crossBetween val="midCat"/>
      </c:valAx>
      <c:valAx>
        <c:axId val="11671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31316742473955"/>
          <c:y val="7.1974539767894863E-2"/>
          <c:w val="0.77626773867376864"/>
          <c:h val="0.84112303035291325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0521430339653091"/>
                  <c:y val="1.17074277849160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'WWTP flow'!$E$2:$E$18</c:f>
              <c:numCache>
                <c:formatCode>General</c:formatCode>
                <c:ptCount val="17"/>
                <c:pt idx="0">
                  <c:v>250.8</c:v>
                </c:pt>
                <c:pt idx="1">
                  <c:v>104.4</c:v>
                </c:pt>
                <c:pt idx="2">
                  <c:v>80.400000000000006</c:v>
                </c:pt>
                <c:pt idx="3">
                  <c:v>23.5</c:v>
                </c:pt>
                <c:pt idx="4">
                  <c:v>136.1</c:v>
                </c:pt>
                <c:pt idx="5">
                  <c:v>179.5</c:v>
                </c:pt>
                <c:pt idx="6">
                  <c:v>8.6999999999999993</c:v>
                </c:pt>
                <c:pt idx="7">
                  <c:v>1916.49045769231</c:v>
                </c:pt>
                <c:pt idx="8">
                  <c:v>8.5</c:v>
                </c:pt>
                <c:pt idx="9">
                  <c:v>576.29</c:v>
                </c:pt>
                <c:pt idx="10">
                  <c:v>18.3</c:v>
                </c:pt>
                <c:pt idx="11">
                  <c:v>286.5</c:v>
                </c:pt>
                <c:pt idx="12">
                  <c:v>184.8</c:v>
                </c:pt>
                <c:pt idx="13">
                  <c:v>35</c:v>
                </c:pt>
                <c:pt idx="14">
                  <c:v>1040.9000000000001</c:v>
                </c:pt>
                <c:pt idx="15">
                  <c:v>212</c:v>
                </c:pt>
                <c:pt idx="16">
                  <c:v>394</c:v>
                </c:pt>
              </c:numCache>
            </c:numRef>
          </c:xVal>
          <c:yVal>
            <c:numRef>
              <c:f>'WWTP flow'!$Y$2:$Y$18</c:f>
              <c:numCache>
                <c:formatCode>General</c:formatCode>
                <c:ptCount val="17"/>
                <c:pt idx="0">
                  <c:v>227.35285190174093</c:v>
                </c:pt>
                <c:pt idx="1">
                  <c:v>94.683107899228759</c:v>
                </c:pt>
                <c:pt idx="2">
                  <c:v>113.95990830985021</c:v>
                </c:pt>
                <c:pt idx="3">
                  <c:v>89.013460719634239</c:v>
                </c:pt>
                <c:pt idx="4">
                  <c:v>98.084896206985505</c:v>
                </c:pt>
                <c:pt idx="5">
                  <c:v>288.01807672340243</c:v>
                </c:pt>
                <c:pt idx="6">
                  <c:v>23.245553436337598</c:v>
                </c:pt>
                <c:pt idx="7">
                  <c:v>1774.0326024951305</c:v>
                </c:pt>
                <c:pt idx="8">
                  <c:v>13.040188513067436</c:v>
                </c:pt>
                <c:pt idx="9">
                  <c:v>620.97795280512582</c:v>
                </c:pt>
                <c:pt idx="10">
                  <c:v>64.796250976715115</c:v>
                </c:pt>
                <c:pt idx="11">
                  <c:v>216.04302703547427</c:v>
                </c:pt>
                <c:pt idx="12">
                  <c:v>136.92164088138773</c:v>
                </c:pt>
                <c:pt idx="13">
                  <c:v>27.151128301297078</c:v>
                </c:pt>
                <c:pt idx="14">
                  <c:v>1013.7265889308591</c:v>
                </c:pt>
                <c:pt idx="15">
                  <c:v>215.02471670225</c:v>
                </c:pt>
                <c:pt idx="16">
                  <c:v>418.14869436689111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99-4B9A-B9F9-A9BA7B3D5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13999"/>
        <c:axId val="116712079"/>
      </c:scatterChart>
      <c:valAx>
        <c:axId val="11671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2079"/>
        <c:crosses val="autoZero"/>
        <c:crossBetween val="midCat"/>
      </c:valAx>
      <c:valAx>
        <c:axId val="11671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'WWTP flow'!$F$2:$F$18</c:f>
              <c:numCache>
                <c:formatCode>0.00</c:formatCode>
                <c:ptCount val="17"/>
                <c:pt idx="0">
                  <c:v>2.9027777777777781</c:v>
                </c:pt>
                <c:pt idx="1">
                  <c:v>1.2083333333333333</c:v>
                </c:pt>
                <c:pt idx="2">
                  <c:v>0.93055555555555547</c:v>
                </c:pt>
                <c:pt idx="3">
                  <c:v>0.27199074074074076</c:v>
                </c:pt>
                <c:pt idx="4">
                  <c:v>1.5752314814814816</c:v>
                </c:pt>
                <c:pt idx="5">
                  <c:v>2.0775462962962963</c:v>
                </c:pt>
                <c:pt idx="6">
                  <c:v>0.10069444444444443</c:v>
                </c:pt>
                <c:pt idx="7">
                  <c:v>22.181602519586921</c:v>
                </c:pt>
                <c:pt idx="8">
                  <c:v>9.8379629629629636E-2</c:v>
                </c:pt>
                <c:pt idx="9">
                  <c:v>6.6700231481481476</c:v>
                </c:pt>
                <c:pt idx="10">
                  <c:v>0.21180555555555555</c:v>
                </c:pt>
                <c:pt idx="11">
                  <c:v>3.3159722222222219</c:v>
                </c:pt>
                <c:pt idx="12">
                  <c:v>2.1388888888888888</c:v>
                </c:pt>
                <c:pt idx="13">
                  <c:v>0.40509259259259256</c:v>
                </c:pt>
                <c:pt idx="14">
                  <c:v>12.047453703703704</c:v>
                </c:pt>
                <c:pt idx="15">
                  <c:v>2.4537037037037037</c:v>
                </c:pt>
                <c:pt idx="16">
                  <c:v>4.5601851851851851</c:v>
                </c:pt>
              </c:numCache>
            </c:numRef>
          </c:xVal>
          <c:yVal>
            <c:numRef>
              <c:f>'WWTP flow'!$U$2:$U$18</c:f>
              <c:numCache>
                <c:formatCode>0.00</c:formatCode>
                <c:ptCount val="17"/>
                <c:pt idx="0">
                  <c:v>2.71</c:v>
                </c:pt>
                <c:pt idx="1">
                  <c:v>0.74</c:v>
                </c:pt>
                <c:pt idx="2">
                  <c:v>0.97</c:v>
                </c:pt>
                <c:pt idx="3">
                  <c:v>0.72</c:v>
                </c:pt>
                <c:pt idx="4">
                  <c:v>1.286</c:v>
                </c:pt>
                <c:pt idx="5">
                  <c:v>1.78</c:v>
                </c:pt>
                <c:pt idx="6">
                  <c:v>0.15</c:v>
                </c:pt>
                <c:pt idx="7">
                  <c:v>23.5</c:v>
                </c:pt>
                <c:pt idx="8">
                  <c:v>0.11</c:v>
                </c:pt>
                <c:pt idx="9">
                  <c:v>7.4</c:v>
                </c:pt>
                <c:pt idx="10">
                  <c:v>0.77</c:v>
                </c:pt>
                <c:pt idx="11">
                  <c:v>2.57</c:v>
                </c:pt>
                <c:pt idx="12">
                  <c:v>1.63</c:v>
                </c:pt>
                <c:pt idx="13">
                  <c:v>0.32</c:v>
                </c:pt>
                <c:pt idx="14">
                  <c:v>13.77</c:v>
                </c:pt>
                <c:pt idx="15">
                  <c:v>3.22</c:v>
                </c:pt>
                <c:pt idx="16">
                  <c:v>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43-45AF-B275-EDFC7AFCD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178671"/>
        <c:axId val="1814179151"/>
      </c:scatterChart>
      <c:valAx>
        <c:axId val="181417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79151"/>
        <c:crosses val="autoZero"/>
        <c:crossBetween val="midCat"/>
      </c:valAx>
      <c:valAx>
        <c:axId val="181417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7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'TDS update2'!$B$88:$J$88</c:f>
              <c:numCache>
                <c:formatCode>General</c:formatCode>
                <c:ptCount val="9"/>
                <c:pt idx="0">
                  <c:v>0.46904761904761905</c:v>
                </c:pt>
                <c:pt idx="1">
                  <c:v>3.1047619047619048</c:v>
                </c:pt>
                <c:pt idx="2">
                  <c:v>0.61325301204819271</c:v>
                </c:pt>
                <c:pt idx="3">
                  <c:v>1.1542168674698792</c:v>
                </c:pt>
                <c:pt idx="4">
                  <c:v>0.46049382716049381</c:v>
                </c:pt>
                <c:pt idx="5">
                  <c:v>0.55925925925925912</c:v>
                </c:pt>
                <c:pt idx="6">
                  <c:v>1.0357142857142858</c:v>
                </c:pt>
                <c:pt idx="7">
                  <c:v>1.7440476190476186</c:v>
                </c:pt>
                <c:pt idx="8">
                  <c:v>2.1976190476190478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A-458D-8720-6857B5519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5627792"/>
        <c:axId val="1675626352"/>
      </c:barChart>
      <c:catAx>
        <c:axId val="1675627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626352"/>
        <c:crosses val="autoZero"/>
        <c:auto val="1"/>
        <c:lblAlgn val="ctr"/>
        <c:lblOffset val="100"/>
        <c:noMultiLvlLbl val="0"/>
      </c:catAx>
      <c:valAx>
        <c:axId val="167562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62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811530</xdr:colOff>
      <xdr:row>36</xdr:row>
      <xdr:rowOff>24765</xdr:rowOff>
    </xdr:from>
    <xdr:to>
      <xdr:col>24</xdr:col>
      <xdr:colOff>405765</xdr:colOff>
      <xdr:row>49</xdr:row>
      <xdr:rowOff>139065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D8860E2-CF3F-A1C7-4C35-7BB85ACA2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610552</xdr:colOff>
      <xdr:row>21</xdr:row>
      <xdr:rowOff>92392</xdr:rowOff>
    </xdr:from>
    <xdr:to>
      <xdr:col>35</xdr:col>
      <xdr:colOff>60007</xdr:colOff>
      <xdr:row>36</xdr:row>
      <xdr:rowOff>130492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3E06E0B-687F-54E6-5B2B-89DE54866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415290</xdr:colOff>
      <xdr:row>20</xdr:row>
      <xdr:rowOff>64770</xdr:rowOff>
    </xdr:from>
    <xdr:to>
      <xdr:col>13</xdr:col>
      <xdr:colOff>209550</xdr:colOff>
      <xdr:row>40</xdr:row>
      <xdr:rowOff>158115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9B64C77-0939-D016-FA78-6B0F9DF14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187642</xdr:colOff>
      <xdr:row>20</xdr:row>
      <xdr:rowOff>132397</xdr:rowOff>
    </xdr:from>
    <xdr:to>
      <xdr:col>12</xdr:col>
      <xdr:colOff>106680</xdr:colOff>
      <xdr:row>35</xdr:row>
      <xdr:rowOff>149542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BFCFA17-2CC5-2178-8140-FB058B4C8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73342</xdr:colOff>
      <xdr:row>19</xdr:row>
      <xdr:rowOff>40957</xdr:rowOff>
    </xdr:from>
    <xdr:to>
      <xdr:col>26</xdr:col>
      <xdr:colOff>11430</xdr:colOff>
      <xdr:row>34</xdr:row>
      <xdr:rowOff>58102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508B2530-B365-E668-09B9-88AA01E0E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339090</xdr:colOff>
      <xdr:row>19</xdr:row>
      <xdr:rowOff>65722</xdr:rowOff>
    </xdr:from>
    <xdr:to>
      <xdr:col>18</xdr:col>
      <xdr:colOff>529590</xdr:colOff>
      <xdr:row>34</xdr:row>
      <xdr:rowOff>98107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2B47900-C749-BF79-C837-1E00F3D49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266700</xdr:colOff>
      <xdr:row>79</xdr:row>
      <xdr:rowOff>144780</xdr:rowOff>
    </xdr:from>
    <xdr:to>
      <xdr:col>19</xdr:col>
      <xdr:colOff>571500</xdr:colOff>
      <xdr:row>94</xdr:row>
      <xdr:rowOff>144780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6B4B54C-4F5E-F6BB-4420-85DC6A334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ftp://ftp4000100/" TargetMode="External"/><Relationship Id="rId2" Type="http://schemas.openxmlformats.org/officeDocument/2006/relationships/hyperlink" Target="ftp://ftp4000086/" TargetMode="External"/><Relationship Id="rId1" Type="http://schemas.openxmlformats.org/officeDocument/2006/relationships/hyperlink" Target="ftp://ftp7000000/" TargetMode="External"/><Relationship Id="rId4" Type="http://schemas.openxmlformats.org/officeDocument/2006/relationships/hyperlink" Target="ftp://ftp4000060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I9" sqref="I9"/>
    </sheetView>
  </sheetViews>
  <sheetFormatPr defaultColWidth="9" defaultRowHeight="14.5"/>
  <cols>
    <col min="1" max="1" width="32.453125" customWidth="1"/>
    <col min="2" max="2" width="10.1796875" style="1" customWidth="1"/>
    <col min="3" max="3" width="7.81640625" style="1" customWidth="1"/>
  </cols>
  <sheetData>
    <row r="1" spans="1:5" ht="29">
      <c r="A1" s="2"/>
      <c r="B1" s="3" t="s">
        <v>5</v>
      </c>
      <c r="C1" s="4" t="s">
        <v>6</v>
      </c>
      <c r="D1" s="4" t="s">
        <v>7</v>
      </c>
      <c r="E1" s="4" t="s">
        <v>4</v>
      </c>
    </row>
    <row r="2" spans="1:5">
      <c r="A2" s="5" t="s">
        <v>0</v>
      </c>
      <c r="B2" s="6">
        <v>18.3</v>
      </c>
      <c r="C2" s="6">
        <v>211</v>
      </c>
      <c r="D2" s="6">
        <v>2024</v>
      </c>
      <c r="E2" s="2">
        <f>C2*2</f>
        <v>422</v>
      </c>
    </row>
    <row r="3" spans="1:5">
      <c r="A3" s="5" t="s">
        <v>1</v>
      </c>
      <c r="B3" s="6">
        <v>184.8</v>
      </c>
      <c r="C3" s="6">
        <v>219.4</v>
      </c>
      <c r="D3" s="6">
        <v>2024</v>
      </c>
      <c r="E3" s="2">
        <f t="shared" ref="E3:E5" si="0">C3*2</f>
        <v>438.8</v>
      </c>
    </row>
    <row r="4" spans="1:5">
      <c r="A4" s="5" t="s">
        <v>2</v>
      </c>
      <c r="B4" s="6">
        <v>286.5</v>
      </c>
      <c r="C4" s="6">
        <v>239.4</v>
      </c>
      <c r="D4" s="6">
        <v>2024</v>
      </c>
      <c r="E4" s="2">
        <f t="shared" si="0"/>
        <v>478.8</v>
      </c>
    </row>
    <row r="5" spans="1:5" ht="29">
      <c r="A5" s="7" t="s">
        <v>3</v>
      </c>
      <c r="B5" s="4">
        <v>576.29</v>
      </c>
      <c r="C5" s="6">
        <v>202.8</v>
      </c>
      <c r="D5" s="6">
        <v>2024</v>
      </c>
      <c r="E5" s="2">
        <f t="shared" si="0"/>
        <v>405.6</v>
      </c>
    </row>
    <row r="6" spans="1:5">
      <c r="A6" s="5" t="s">
        <v>8</v>
      </c>
      <c r="B6" s="6">
        <f>AVERAGE(B2:B5)</f>
        <v>266.47249999999997</v>
      </c>
      <c r="C6" s="6">
        <f t="shared" ref="C6:E6" si="1">AVERAGE(C2:C5)</f>
        <v>218.14999999999998</v>
      </c>
      <c r="D6" s="6"/>
      <c r="E6" s="6">
        <f t="shared" si="1"/>
        <v>436.29999999999995</v>
      </c>
    </row>
    <row r="7" spans="1:5">
      <c r="A7" s="5" t="s">
        <v>9</v>
      </c>
      <c r="B7" s="6">
        <f>_xlfn.STDEV.P(B2:B5)</f>
        <v>202.88418560535959</v>
      </c>
      <c r="C7" s="6">
        <f t="shared" ref="C7:E7" si="2">_xlfn.STDEV.P(C2:C5)</f>
        <v>13.600275732498954</v>
      </c>
      <c r="D7" s="6"/>
      <c r="E7" s="6">
        <f t="shared" si="2"/>
        <v>27.200551464997908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I7" sqref="I7"/>
    </sheetView>
  </sheetViews>
  <sheetFormatPr defaultColWidth="9" defaultRowHeight="14.5"/>
  <sheetData>
    <row r="1" spans="1:4">
      <c r="B1" s="8" t="s">
        <v>10</v>
      </c>
      <c r="C1" s="8" t="s">
        <v>11</v>
      </c>
      <c r="D1" s="8" t="s">
        <v>12</v>
      </c>
    </row>
    <row r="2" spans="1:4">
      <c r="A2">
        <v>2019</v>
      </c>
      <c r="B2">
        <v>137.5</v>
      </c>
      <c r="C2">
        <v>93.4</v>
      </c>
      <c r="D2">
        <f>SUM(B2:C2)</f>
        <v>230.9</v>
      </c>
    </row>
    <row r="3" spans="1:4">
      <c r="A3">
        <v>2020</v>
      </c>
      <c r="B3">
        <v>152.6</v>
      </c>
      <c r="C3">
        <v>97</v>
      </c>
      <c r="D3">
        <f t="shared" ref="D3:D6" si="0">SUM(B3:C3)</f>
        <v>249.6</v>
      </c>
    </row>
    <row r="4" spans="1:4">
      <c r="A4">
        <v>2021</v>
      </c>
      <c r="B4">
        <v>148.1</v>
      </c>
      <c r="C4">
        <v>96</v>
      </c>
      <c r="D4">
        <f t="shared" si="0"/>
        <v>244.1</v>
      </c>
    </row>
    <row r="5" spans="1:4">
      <c r="A5">
        <v>2022</v>
      </c>
      <c r="B5">
        <v>141.69999999999999</v>
      </c>
      <c r="C5">
        <v>91.4</v>
      </c>
      <c r="D5">
        <f t="shared" si="0"/>
        <v>233.1</v>
      </c>
    </row>
    <row r="6" spans="1:4">
      <c r="A6">
        <v>2023</v>
      </c>
      <c r="B6">
        <v>133.19999999999999</v>
      </c>
      <c r="C6">
        <v>90.2</v>
      </c>
      <c r="D6">
        <f t="shared" si="0"/>
        <v>223.39999999999998</v>
      </c>
    </row>
    <row r="9" spans="1:4">
      <c r="A9" s="8" t="s">
        <v>13</v>
      </c>
      <c r="D9">
        <f>AVERAGE(D2:D6)</f>
        <v>236.21999999999997</v>
      </c>
    </row>
    <row r="10" spans="1:4">
      <c r="A10" s="8" t="s">
        <v>14</v>
      </c>
      <c r="D10">
        <f>_xlfn.STDEV.P(D2:D6)</f>
        <v>9.4181526851076303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3"/>
  <sheetViews>
    <sheetView workbookViewId="0">
      <selection activeCell="V16" sqref="V16"/>
    </sheetView>
  </sheetViews>
  <sheetFormatPr defaultColWidth="9" defaultRowHeight="14.5"/>
  <cols>
    <col min="3" max="3" width="28" bestFit="1" customWidth="1"/>
    <col min="4" max="8" width="9" customWidth="1"/>
    <col min="9" max="9" width="11.08984375" customWidth="1"/>
    <col min="10" max="10" width="3.54296875" customWidth="1"/>
    <col min="11" max="11" width="9" customWidth="1"/>
    <col min="12" max="12" width="3.54296875" customWidth="1"/>
    <col min="13" max="14" width="9" customWidth="1"/>
    <col min="15" max="16" width="12" customWidth="1"/>
    <col min="17" max="17" width="12.6328125" customWidth="1"/>
    <col min="18" max="18" width="9" customWidth="1"/>
  </cols>
  <sheetData>
    <row r="1" spans="1:30" ht="31.5">
      <c r="A1" s="10" t="s">
        <v>15</v>
      </c>
      <c r="B1" s="11" t="s">
        <v>16</v>
      </c>
      <c r="C1" s="11" t="s">
        <v>17</v>
      </c>
      <c r="D1" s="10" t="s">
        <v>19</v>
      </c>
      <c r="E1" s="10" t="s">
        <v>18</v>
      </c>
      <c r="F1" s="10" t="s">
        <v>52</v>
      </c>
      <c r="G1" s="10" t="s">
        <v>51</v>
      </c>
      <c r="H1" s="10" t="s">
        <v>20</v>
      </c>
      <c r="I1" s="10" t="s">
        <v>21</v>
      </c>
      <c r="J1" s="10" t="s">
        <v>49</v>
      </c>
      <c r="K1" s="10" t="s">
        <v>22</v>
      </c>
      <c r="L1" s="10" t="s">
        <v>49</v>
      </c>
      <c r="M1" s="10" t="s">
        <v>23</v>
      </c>
      <c r="N1" s="10" t="s">
        <v>24</v>
      </c>
      <c r="O1" s="10" t="s">
        <v>45</v>
      </c>
      <c r="P1" s="10" t="s">
        <v>46</v>
      </c>
      <c r="Q1" s="10" t="s">
        <v>47</v>
      </c>
      <c r="R1" s="10" t="s">
        <v>48</v>
      </c>
      <c r="S1" s="10" t="s">
        <v>52</v>
      </c>
      <c r="T1" s="23"/>
      <c r="U1" s="23"/>
    </row>
    <row r="2" spans="1:30" ht="16">
      <c r="A2" s="10">
        <v>1</v>
      </c>
      <c r="B2" s="11" t="s">
        <v>25</v>
      </c>
      <c r="C2" s="11" t="s">
        <v>26</v>
      </c>
      <c r="D2" s="10">
        <v>40.1</v>
      </c>
      <c r="E2" s="10">
        <v>250.8</v>
      </c>
      <c r="F2" s="24">
        <f t="shared" ref="F2:F8" si="0">E2*1000/3600/24</f>
        <v>2.9027777777777781</v>
      </c>
      <c r="G2" s="10">
        <v>28.6</v>
      </c>
      <c r="H2" s="12">
        <f t="shared" ref="H2:H10" si="1">E2*1000/D2/1000000</f>
        <v>6.2543640897755612E-3</v>
      </c>
      <c r="I2" s="10">
        <v>0.23599999999999999</v>
      </c>
      <c r="J2" s="9" t="s">
        <v>50</v>
      </c>
      <c r="K2" s="10">
        <v>7500000</v>
      </c>
      <c r="L2" s="9" t="s">
        <v>50</v>
      </c>
      <c r="M2" s="10">
        <f>I2*K2/1000</f>
        <v>1770</v>
      </c>
      <c r="N2" s="10">
        <f>(SUM(E2:E10)-M2)/M2</f>
        <v>0.5301641003911356</v>
      </c>
      <c r="O2" s="12">
        <f>SUM(E2:E10)/SUM(D2:D10)/1000</f>
        <v>5.6424801201923128E-3</v>
      </c>
      <c r="P2" s="12">
        <f>K2/SUM(D2:D10)/1000000</f>
        <v>1.5625000000000003E-2</v>
      </c>
      <c r="Q2" s="19">
        <f>I2*(1+N3)</f>
        <v>0.35399999999999998</v>
      </c>
      <c r="R2" s="17">
        <f>Q$3*D2/SUM(D$2:D$9)*K$2/1000</f>
        <v>227.35285190174093</v>
      </c>
      <c r="S2" s="24">
        <f>R2*1000/3600/24</f>
        <v>2.6313987488627424</v>
      </c>
      <c r="T2">
        <f>F2/S2</f>
        <v>1.1031310929338711</v>
      </c>
      <c r="U2" s="25">
        <v>2.71</v>
      </c>
      <c r="V2">
        <f>F2/U2</f>
        <v>1.0711357113571136</v>
      </c>
      <c r="W2">
        <f>AVERAGE(V2:V18)</f>
        <v>0.96166536724304308</v>
      </c>
      <c r="X2">
        <f>_xlfn.STDEV.P(V2:V18)</f>
        <v>0.33488892202016812</v>
      </c>
      <c r="Y2" s="2">
        <f>Q$3*D2/SUM(D$2:D$9)*K$2/1000</f>
        <v>227.35285190174093</v>
      </c>
      <c r="Z2">
        <f>E2/Y2</f>
        <v>1.1031310929338711</v>
      </c>
      <c r="AA2">
        <f>AVERAGE(Z2:Z18)</f>
        <v>0.90722345274674021</v>
      </c>
      <c r="AB2">
        <f>_xlfn.STDEV.P(Z2:Z18)</f>
        <v>0.35572503074974637</v>
      </c>
    </row>
    <row r="3" spans="1:30">
      <c r="A3" s="10">
        <v>2</v>
      </c>
      <c r="B3" s="11" t="s">
        <v>25</v>
      </c>
      <c r="C3" s="11" t="s">
        <v>27</v>
      </c>
      <c r="D3" s="10">
        <v>16.7</v>
      </c>
      <c r="E3" s="10">
        <v>104.4</v>
      </c>
      <c r="F3" s="24">
        <f t="shared" si="0"/>
        <v>1.2083333333333333</v>
      </c>
      <c r="G3" s="10">
        <v>14</v>
      </c>
      <c r="H3" s="12">
        <f t="shared" si="1"/>
        <v>6.2514970059880243E-3</v>
      </c>
      <c r="I3" s="10"/>
      <c r="J3" s="10"/>
      <c r="K3" s="10"/>
      <c r="L3" s="10"/>
      <c r="M3" s="10"/>
      <c r="N3" s="10">
        <f>N20</f>
        <v>0.5</v>
      </c>
      <c r="Q3" s="19">
        <f>SUM(E2:E10)/K2*1000</f>
        <v>0.36111872769230802</v>
      </c>
      <c r="R3" s="17">
        <f t="shared" ref="R3:R10" si="2">Q$3*D3/SUM(D$2:D$9)*K$2/1000</f>
        <v>94.683107899228759</v>
      </c>
      <c r="S3" s="24">
        <f t="shared" ref="S3:S18" si="3">R3*1000/3600/24</f>
        <v>1.0958693043892218</v>
      </c>
      <c r="T3">
        <f t="shared" ref="T3:T18" si="4">F3/S3</f>
        <v>1.1026254029505762</v>
      </c>
      <c r="U3" s="25">
        <v>0.74</v>
      </c>
      <c r="V3">
        <f t="shared" ref="V3:V18" si="5">F3/U3</f>
        <v>1.6328828828828827</v>
      </c>
      <c r="Y3" s="2">
        <f t="shared" ref="Y3:Y10" si="6">Q$3*D3/SUM(D$2:D$9)*K$2/1000</f>
        <v>94.683107899228759</v>
      </c>
      <c r="Z3">
        <f t="shared" ref="Z3:Z18" si="7">E3/Y3</f>
        <v>1.1026254029505764</v>
      </c>
    </row>
    <row r="4" spans="1:30">
      <c r="A4" s="10">
        <v>3</v>
      </c>
      <c r="B4" s="11" t="s">
        <v>25</v>
      </c>
      <c r="C4" s="11" t="s">
        <v>28</v>
      </c>
      <c r="D4" s="10">
        <v>20.100000000000001</v>
      </c>
      <c r="E4" s="10">
        <v>80.400000000000006</v>
      </c>
      <c r="F4" s="24">
        <f t="shared" si="0"/>
        <v>0.93055555555555547</v>
      </c>
      <c r="G4" s="10">
        <v>17.7</v>
      </c>
      <c r="H4" s="12">
        <f t="shared" si="1"/>
        <v>3.9999999999999992E-3</v>
      </c>
      <c r="I4" s="10"/>
      <c r="J4" s="10"/>
      <c r="K4" s="10"/>
      <c r="L4" s="10"/>
      <c r="M4" s="10"/>
      <c r="N4" s="10"/>
      <c r="Q4" s="20"/>
      <c r="R4" s="17">
        <f t="shared" si="2"/>
        <v>113.95990830985021</v>
      </c>
      <c r="S4" s="24">
        <f t="shared" si="3"/>
        <v>1.3189804202528959</v>
      </c>
      <c r="T4">
        <f t="shared" si="4"/>
        <v>0.70551127315228424</v>
      </c>
      <c r="U4" s="25">
        <v>0.97</v>
      </c>
      <c r="V4">
        <f t="shared" si="5"/>
        <v>0.95933562428407781</v>
      </c>
      <c r="Y4" s="2">
        <f t="shared" si="6"/>
        <v>113.95990830985021</v>
      </c>
      <c r="Z4">
        <f t="shared" si="7"/>
        <v>0.70551127315228435</v>
      </c>
    </row>
    <row r="5" spans="1:30">
      <c r="A5" s="10">
        <v>4</v>
      </c>
      <c r="B5" s="11" t="s">
        <v>25</v>
      </c>
      <c r="C5" s="22" t="s">
        <v>29</v>
      </c>
      <c r="D5" s="10">
        <v>15.7</v>
      </c>
      <c r="E5" s="10">
        <v>23.5</v>
      </c>
      <c r="F5" s="24">
        <f t="shared" si="0"/>
        <v>0.27199074074074076</v>
      </c>
      <c r="G5" s="10">
        <v>8.8000000000000007</v>
      </c>
      <c r="H5" s="12">
        <f t="shared" si="1"/>
        <v>1.4968152866242041E-3</v>
      </c>
      <c r="I5" s="10"/>
      <c r="J5" s="10"/>
      <c r="K5" s="10"/>
      <c r="L5" s="10"/>
      <c r="M5" s="10"/>
      <c r="N5" s="10"/>
      <c r="Q5" s="20"/>
      <c r="R5" s="17">
        <f t="shared" si="2"/>
        <v>89.013460719634239</v>
      </c>
      <c r="S5" s="24">
        <f t="shared" si="3"/>
        <v>1.0302483879587296</v>
      </c>
      <c r="T5">
        <f t="shared" si="4"/>
        <v>0.26400501463501086</v>
      </c>
      <c r="U5" s="25">
        <v>0.72</v>
      </c>
      <c r="V5">
        <f t="shared" si="5"/>
        <v>0.37776491769547327</v>
      </c>
      <c r="Y5" s="2">
        <f t="shared" si="6"/>
        <v>89.013460719634239</v>
      </c>
      <c r="Z5" s="18">
        <f t="shared" si="7"/>
        <v>0.26400501463501086</v>
      </c>
    </row>
    <row r="6" spans="1:30">
      <c r="A6" s="10">
        <v>5</v>
      </c>
      <c r="B6" s="11" t="s">
        <v>25</v>
      </c>
      <c r="C6" s="11" t="s">
        <v>30</v>
      </c>
      <c r="D6" s="10">
        <v>17.3</v>
      </c>
      <c r="E6" s="10">
        <v>136.1</v>
      </c>
      <c r="F6" s="24">
        <f t="shared" si="0"/>
        <v>1.5752314814814816</v>
      </c>
      <c r="G6" s="10">
        <v>10.8</v>
      </c>
      <c r="H6" s="12">
        <f t="shared" si="1"/>
        <v>7.8670520231213861E-3</v>
      </c>
      <c r="I6" s="10"/>
      <c r="J6" s="10"/>
      <c r="K6" s="10"/>
      <c r="L6" s="10"/>
      <c r="M6" s="10"/>
      <c r="N6" s="10"/>
      <c r="Q6" s="20"/>
      <c r="R6" s="17">
        <f t="shared" si="2"/>
        <v>98.084896206985505</v>
      </c>
      <c r="S6" s="24">
        <f t="shared" si="3"/>
        <v>1.1352418542475176</v>
      </c>
      <c r="T6">
        <f t="shared" si="4"/>
        <v>1.3875734721969057</v>
      </c>
      <c r="U6" s="25">
        <v>1.286</v>
      </c>
      <c r="V6">
        <f t="shared" si="5"/>
        <v>1.2249078394101722</v>
      </c>
      <c r="Y6" s="2">
        <f t="shared" si="6"/>
        <v>98.084896206985505</v>
      </c>
      <c r="Z6">
        <f t="shared" si="7"/>
        <v>1.3875734721969057</v>
      </c>
    </row>
    <row r="7" spans="1:30">
      <c r="A7" s="10">
        <v>6</v>
      </c>
      <c r="B7" s="11" t="s">
        <v>25</v>
      </c>
      <c r="C7" s="11" t="s">
        <v>31</v>
      </c>
      <c r="D7" s="13">
        <v>50.8</v>
      </c>
      <c r="E7" s="10">
        <v>179.5</v>
      </c>
      <c r="F7" s="24">
        <f t="shared" si="0"/>
        <v>2.0775462962962963</v>
      </c>
      <c r="G7" s="10">
        <v>12.6</v>
      </c>
      <c r="H7" s="12">
        <f t="shared" si="1"/>
        <v>3.5334645669291339E-3</v>
      </c>
      <c r="I7" s="10"/>
      <c r="J7" s="10"/>
      <c r="K7" s="10"/>
      <c r="L7" s="10"/>
      <c r="M7" s="10"/>
      <c r="N7" s="10"/>
      <c r="Q7" s="20"/>
      <c r="R7" s="17">
        <f t="shared" si="2"/>
        <v>288.01807672340243</v>
      </c>
      <c r="S7" s="24">
        <f t="shared" si="3"/>
        <v>3.3335425546690094</v>
      </c>
      <c r="T7">
        <f t="shared" si="4"/>
        <v>0.62322477131316467</v>
      </c>
      <c r="U7" s="25">
        <v>1.78</v>
      </c>
      <c r="V7">
        <f t="shared" si="5"/>
        <v>1.1671608406158969</v>
      </c>
      <c r="Y7" s="2">
        <f t="shared" si="6"/>
        <v>288.01807672340243</v>
      </c>
      <c r="Z7">
        <f t="shared" si="7"/>
        <v>0.62322477131316467</v>
      </c>
    </row>
    <row r="8" spans="1:30">
      <c r="A8" s="10">
        <v>7</v>
      </c>
      <c r="B8" s="11" t="s">
        <v>25</v>
      </c>
      <c r="C8" s="22" t="s">
        <v>32</v>
      </c>
      <c r="D8" s="10">
        <v>4.0999999999999996</v>
      </c>
      <c r="E8" s="10">
        <v>8.6999999999999993</v>
      </c>
      <c r="F8" s="24">
        <f t="shared" si="0"/>
        <v>0.10069444444444443</v>
      </c>
      <c r="G8" s="10">
        <v>1.8</v>
      </c>
      <c r="H8" s="12">
        <f t="shared" si="1"/>
        <v>2.1219512195121953E-3</v>
      </c>
      <c r="I8" s="10"/>
      <c r="J8" s="10"/>
      <c r="K8" s="10"/>
      <c r="L8" s="10"/>
      <c r="M8" s="10"/>
      <c r="N8" s="10"/>
      <c r="Q8" s="20"/>
      <c r="R8" s="17">
        <f t="shared" si="2"/>
        <v>23.245553436337598</v>
      </c>
      <c r="S8" s="24">
        <f t="shared" si="3"/>
        <v>0.26904575736501851</v>
      </c>
      <c r="T8">
        <f t="shared" si="4"/>
        <v>0.37426512661127281</v>
      </c>
      <c r="U8" s="25">
        <v>0.15</v>
      </c>
      <c r="V8">
        <f t="shared" si="5"/>
        <v>0.67129629629629628</v>
      </c>
      <c r="Y8" s="2">
        <f t="shared" si="6"/>
        <v>23.245553436337598</v>
      </c>
      <c r="Z8" s="18">
        <f t="shared" si="7"/>
        <v>0.37426512661127281</v>
      </c>
    </row>
    <row r="9" spans="1:30">
      <c r="A9" s="10">
        <v>8</v>
      </c>
      <c r="B9" s="11" t="s">
        <v>25</v>
      </c>
      <c r="C9" s="11" t="s">
        <v>33</v>
      </c>
      <c r="D9" s="10">
        <v>312.89999999999998</v>
      </c>
      <c r="E9" s="10">
        <v>1916.49045769231</v>
      </c>
      <c r="F9" s="24">
        <f>E9*1000/3600/24</f>
        <v>22.181602519586921</v>
      </c>
      <c r="G9" s="10"/>
      <c r="H9" s="12">
        <f t="shared" si="1"/>
        <v>6.1249295547852675E-3</v>
      </c>
      <c r="I9" s="10"/>
      <c r="J9" s="10"/>
      <c r="K9" s="10"/>
      <c r="L9" s="10"/>
      <c r="M9" s="10"/>
      <c r="N9" s="10"/>
      <c r="Q9" s="20"/>
      <c r="R9" s="17">
        <f t="shared" si="2"/>
        <v>1774.0326024951305</v>
      </c>
      <c r="S9" s="24">
        <f t="shared" si="3"/>
        <v>20.532784751101051</v>
      </c>
      <c r="T9">
        <f t="shared" si="4"/>
        <v>1.0803017120411518</v>
      </c>
      <c r="U9" s="25">
        <v>23.5</v>
      </c>
      <c r="V9">
        <f t="shared" si="5"/>
        <v>0.94389797955689025</v>
      </c>
      <c r="Y9" s="2">
        <f t="shared" si="6"/>
        <v>1774.0326024951305</v>
      </c>
      <c r="Z9">
        <f t="shared" si="7"/>
        <v>1.080301712041152</v>
      </c>
      <c r="AC9">
        <v>21.68</v>
      </c>
      <c r="AD9">
        <f>AC9*3600*24/1000</f>
        <v>1873.152</v>
      </c>
    </row>
    <row r="10" spans="1:30">
      <c r="A10" s="10">
        <v>9</v>
      </c>
      <c r="B10" s="11" t="s">
        <v>25</v>
      </c>
      <c r="C10" s="11" t="s">
        <v>34</v>
      </c>
      <c r="D10" s="10">
        <v>2.2999999999999998</v>
      </c>
      <c r="E10" s="10">
        <v>8.5</v>
      </c>
      <c r="F10" s="24">
        <f t="shared" ref="F10:F18" si="8">E10*1000/3600/24</f>
        <v>9.8379629629629636E-2</v>
      </c>
      <c r="G10" s="10"/>
      <c r="H10" s="12">
        <f t="shared" si="1"/>
        <v>3.6956521739130439E-3</v>
      </c>
      <c r="I10" s="10"/>
      <c r="J10" s="10"/>
      <c r="K10" s="10"/>
      <c r="L10" s="10"/>
      <c r="M10" s="10"/>
      <c r="N10" s="10"/>
      <c r="Q10" s="20"/>
      <c r="R10" s="17">
        <f t="shared" si="2"/>
        <v>13.040188513067436</v>
      </c>
      <c r="S10" s="24">
        <f t="shared" si="3"/>
        <v>0.15092810779013235</v>
      </c>
      <c r="T10">
        <f t="shared" si="4"/>
        <v>0.65183106758634968</v>
      </c>
      <c r="U10" s="25">
        <v>0.11</v>
      </c>
      <c r="V10">
        <f t="shared" si="5"/>
        <v>0.89436026936026947</v>
      </c>
      <c r="Y10" s="2">
        <f t="shared" si="6"/>
        <v>13.040188513067436</v>
      </c>
      <c r="Z10">
        <f t="shared" si="7"/>
        <v>0.65183106758634968</v>
      </c>
    </row>
    <row r="11" spans="1:30">
      <c r="A11" s="10">
        <v>10</v>
      </c>
      <c r="B11" s="11" t="s">
        <v>35</v>
      </c>
      <c r="C11" s="11" t="s">
        <v>36</v>
      </c>
      <c r="D11" s="10">
        <v>372.8</v>
      </c>
      <c r="E11" s="10">
        <v>576.29</v>
      </c>
      <c r="F11" s="24">
        <f t="shared" si="8"/>
        <v>6.6700231481481476</v>
      </c>
      <c r="G11" s="10"/>
      <c r="H11" s="12">
        <f t="shared" ref="H11:H18" si="9">E11*1000/D11/1000000</f>
        <v>1.5458422746781116E-3</v>
      </c>
      <c r="I11" s="10">
        <v>0.28999999999999998</v>
      </c>
      <c r="J11" s="10"/>
      <c r="K11" s="10">
        <v>2800000</v>
      </c>
      <c r="L11" s="10"/>
      <c r="M11" s="10">
        <f>I11*K11/1000</f>
        <v>812</v>
      </c>
      <c r="N11" s="10">
        <f>(SUM(E11:E15)-M11)/M11</f>
        <v>0.35577586206896539</v>
      </c>
      <c r="O11" s="12">
        <f>SUM(E11:E15)/SUM(D11:D15)/1000</f>
        <v>1.7204094389748398E-3</v>
      </c>
      <c r="P11" s="12">
        <f>K11/SUM(D11:D15)/1000000</f>
        <v>4.3756837005782152E-3</v>
      </c>
      <c r="Q11" s="19">
        <f>I11*(1+N12)</f>
        <v>0.43499999999999994</v>
      </c>
      <c r="R11" s="17">
        <f>Q$12*D11/SUM(D$11:D$15)*K$11/1000</f>
        <v>620.97795280512582</v>
      </c>
      <c r="S11" s="24">
        <f t="shared" si="3"/>
        <v>7.1872448241334013</v>
      </c>
      <c r="T11">
        <f t="shared" si="4"/>
        <v>0.92803616842875292</v>
      </c>
      <c r="U11" s="25">
        <v>7.4</v>
      </c>
      <c r="V11">
        <f>F11/U11</f>
        <v>0.90135447947947933</v>
      </c>
      <c r="Y11" s="2">
        <f>Q$12*D11/SUM(D$11:D$15)*K$11/1000</f>
        <v>620.97795280512582</v>
      </c>
      <c r="Z11">
        <f t="shared" si="7"/>
        <v>0.92803616842875303</v>
      </c>
    </row>
    <row r="12" spans="1:30">
      <c r="A12" s="10">
        <v>11</v>
      </c>
      <c r="B12" s="11" t="s">
        <v>35</v>
      </c>
      <c r="C12" s="22" t="s">
        <v>37</v>
      </c>
      <c r="D12" s="10">
        <v>38.9</v>
      </c>
      <c r="E12" s="10">
        <v>18.3</v>
      </c>
      <c r="F12" s="24">
        <f t="shared" si="8"/>
        <v>0.21180555555555555</v>
      </c>
      <c r="G12" s="10"/>
      <c r="H12" s="12">
        <f t="shared" si="9"/>
        <v>4.7043701799485862E-4</v>
      </c>
      <c r="I12" s="10"/>
      <c r="J12" s="10"/>
      <c r="K12" s="10"/>
      <c r="L12" s="10"/>
      <c r="M12" s="10"/>
      <c r="N12" s="10">
        <f>N17</f>
        <v>0.5</v>
      </c>
      <c r="Q12" s="19">
        <f>SUM(E11:E14)/K11*1000</f>
        <v>0.38067499999999999</v>
      </c>
      <c r="R12" s="17">
        <f t="shared" ref="R12:R15" si="10">Q$12*D12/SUM(D$11:D$15)*K$11/1000</f>
        <v>64.796250976715115</v>
      </c>
      <c r="S12" s="24">
        <f t="shared" si="3"/>
        <v>0.74995660852679524</v>
      </c>
      <c r="T12">
        <f t="shared" si="4"/>
        <v>0.28242374711734797</v>
      </c>
      <c r="U12" s="25">
        <v>0.77</v>
      </c>
      <c r="V12">
        <f t="shared" si="5"/>
        <v>0.27507215007215008</v>
      </c>
      <c r="Y12" s="2">
        <f t="shared" ref="Y12:Y15" si="11">Q$12*D12/SUM(D$11:D$15)*K$11/1000</f>
        <v>64.796250976715115</v>
      </c>
      <c r="Z12" s="18">
        <f t="shared" si="7"/>
        <v>0.28242374711734797</v>
      </c>
    </row>
    <row r="13" spans="1:30">
      <c r="A13" s="10">
        <v>12</v>
      </c>
      <c r="B13" s="11" t="s">
        <v>35</v>
      </c>
      <c r="C13" s="11" t="s">
        <v>38</v>
      </c>
      <c r="D13" s="10">
        <v>129.69999999999999</v>
      </c>
      <c r="E13" s="10">
        <v>286.5</v>
      </c>
      <c r="F13" s="24">
        <f t="shared" si="8"/>
        <v>3.3159722222222219</v>
      </c>
      <c r="G13" s="10"/>
      <c r="H13" s="12">
        <f t="shared" si="9"/>
        <v>2.2089437162683117E-3</v>
      </c>
      <c r="I13" s="10"/>
      <c r="J13" s="10"/>
      <c r="K13" s="10"/>
      <c r="L13" s="10"/>
      <c r="M13" s="10"/>
      <c r="N13" s="10"/>
      <c r="Q13" s="20"/>
      <c r="R13" s="17">
        <f t="shared" si="10"/>
        <v>216.04302703547427</v>
      </c>
      <c r="S13" s="24">
        <f t="shared" si="3"/>
        <v>2.5004979980957667</v>
      </c>
      <c r="T13">
        <f t="shared" si="4"/>
        <v>1.3261247258535991</v>
      </c>
      <c r="U13" s="25">
        <v>2.57</v>
      </c>
      <c r="V13">
        <f>F13/U13</f>
        <v>1.2902615650670124</v>
      </c>
      <c r="Y13" s="2">
        <f t="shared" si="11"/>
        <v>216.04302703547427</v>
      </c>
      <c r="Z13">
        <f t="shared" si="7"/>
        <v>1.3261247258535991</v>
      </c>
      <c r="AC13" s="8">
        <f>2319/2023</f>
        <v>1.1463173504695996</v>
      </c>
    </row>
    <row r="14" spans="1:30">
      <c r="A14" s="10">
        <v>13</v>
      </c>
      <c r="B14" s="11" t="s">
        <v>35</v>
      </c>
      <c r="C14" s="11" t="s">
        <v>39</v>
      </c>
      <c r="D14" s="10">
        <v>82.2</v>
      </c>
      <c r="E14" s="10">
        <v>184.8</v>
      </c>
      <c r="F14" s="24">
        <f t="shared" si="8"/>
        <v>2.1388888888888888</v>
      </c>
      <c r="G14" s="10"/>
      <c r="H14" s="12">
        <f t="shared" si="9"/>
        <v>2.2481751824817518E-3</v>
      </c>
      <c r="I14" s="10"/>
      <c r="J14" s="10"/>
      <c r="K14" s="10"/>
      <c r="L14" s="10"/>
      <c r="M14" s="10"/>
      <c r="N14" s="10"/>
      <c r="Q14" s="20"/>
      <c r="R14" s="17">
        <f t="shared" si="10"/>
        <v>136.92164088138773</v>
      </c>
      <c r="S14" s="24">
        <f t="shared" si="3"/>
        <v>1.5847412139049506</v>
      </c>
      <c r="T14">
        <f t="shared" si="4"/>
        <v>1.3496770766871562</v>
      </c>
      <c r="U14" s="25">
        <v>1.63</v>
      </c>
      <c r="V14">
        <f t="shared" si="5"/>
        <v>1.3122017723244717</v>
      </c>
      <c r="Y14" s="2">
        <f t="shared" si="11"/>
        <v>136.92164088138773</v>
      </c>
      <c r="Z14">
        <f t="shared" si="7"/>
        <v>1.3496770766871562</v>
      </c>
    </row>
    <row r="15" spans="1:30">
      <c r="A15" s="10">
        <v>14</v>
      </c>
      <c r="B15" s="11" t="s">
        <v>35</v>
      </c>
      <c r="C15" s="22" t="s">
        <v>40</v>
      </c>
      <c r="D15" s="10">
        <v>16.3</v>
      </c>
      <c r="E15" s="14">
        <v>35</v>
      </c>
      <c r="F15" s="26">
        <f t="shared" si="8"/>
        <v>0.40509259259259256</v>
      </c>
      <c r="G15" s="14"/>
      <c r="H15" s="15">
        <f t="shared" si="9"/>
        <v>2.1472392638036807E-3</v>
      </c>
      <c r="I15" s="10"/>
      <c r="J15" s="10"/>
      <c r="K15" s="10"/>
      <c r="L15" s="10"/>
      <c r="M15" s="10"/>
      <c r="N15" s="10"/>
      <c r="Q15" s="20"/>
      <c r="R15" s="17">
        <f t="shared" si="10"/>
        <v>27.151128301297078</v>
      </c>
      <c r="S15" s="24">
        <f t="shared" si="3"/>
        <v>0.31424917015390136</v>
      </c>
      <c r="T15">
        <f t="shared" si="4"/>
        <v>1.2890808666072253</v>
      </c>
      <c r="U15" s="25">
        <v>0.32</v>
      </c>
      <c r="V15">
        <f t="shared" si="5"/>
        <v>1.2659143518518516</v>
      </c>
      <c r="Y15" s="2">
        <f t="shared" si="11"/>
        <v>27.151128301297078</v>
      </c>
      <c r="Z15">
        <f t="shared" si="7"/>
        <v>1.2890808666072253</v>
      </c>
    </row>
    <row r="16" spans="1:30">
      <c r="A16" s="10">
        <v>15</v>
      </c>
      <c r="B16" s="11" t="s">
        <v>41</v>
      </c>
      <c r="C16" s="11" t="s">
        <v>42</v>
      </c>
      <c r="D16" s="10">
        <v>374.8</v>
      </c>
      <c r="E16" s="10">
        <v>1040.9000000000001</v>
      </c>
      <c r="F16" s="24">
        <f t="shared" si="8"/>
        <v>12.047453703703704</v>
      </c>
      <c r="G16" s="10"/>
      <c r="H16" s="12">
        <f>E16*1000/D16/1000000</f>
        <v>2.7772145144076845E-3</v>
      </c>
      <c r="I16" s="10">
        <v>0.38</v>
      </c>
      <c r="J16" s="10"/>
      <c r="K16" s="16">
        <v>3898747</v>
      </c>
      <c r="L16" s="16"/>
      <c r="M16" s="10">
        <f>I16*K16/1000</f>
        <v>1481.52386</v>
      </c>
      <c r="N16" s="10">
        <f>(SUM(E16:E18)-M16)/M16</f>
        <v>0.11162570139099891</v>
      </c>
      <c r="O16" s="12">
        <f>SUM(E16:E18)/SUM(D16:D18)/1000</f>
        <v>2.7047134176383645E-3</v>
      </c>
      <c r="P16" s="12">
        <f>K16/SUM(D16:D18)/1000000</f>
        <v>6.4029348004598459E-3</v>
      </c>
      <c r="Q16" s="19">
        <f>I16*(1+N17)</f>
        <v>0.57000000000000006</v>
      </c>
      <c r="R16" s="17">
        <f>Q$17*D16/SUM(D$16:D$18)*K$16/1000</f>
        <v>1013.7265889308591</v>
      </c>
      <c r="S16" s="24">
        <f t="shared" si="3"/>
        <v>11.732946631144202</v>
      </c>
      <c r="T16">
        <f t="shared" si="4"/>
        <v>1.0268054634907029</v>
      </c>
      <c r="U16" s="25">
        <v>13.77</v>
      </c>
      <c r="V16">
        <f>F16/U16</f>
        <v>0.87490586083541788</v>
      </c>
      <c r="X16" s="21"/>
      <c r="Y16" s="2">
        <f>Q$17*D16/SUM(D$16:D$18)*K$16/1000</f>
        <v>1013.7265889308591</v>
      </c>
      <c r="Z16">
        <f t="shared" si="7"/>
        <v>1.0268054634907029</v>
      </c>
    </row>
    <row r="17" spans="1:26">
      <c r="A17" s="10">
        <v>16</v>
      </c>
      <c r="B17" s="11" t="s">
        <v>41</v>
      </c>
      <c r="C17" s="11" t="s">
        <v>43</v>
      </c>
      <c r="D17" s="10">
        <v>79.5</v>
      </c>
      <c r="E17" s="10">
        <v>212</v>
      </c>
      <c r="F17" s="24">
        <f t="shared" si="8"/>
        <v>2.4537037037037037</v>
      </c>
      <c r="G17" s="10"/>
      <c r="H17" s="12">
        <f t="shared" si="9"/>
        <v>2.6666666666666666E-3</v>
      </c>
      <c r="I17" s="10"/>
      <c r="J17" s="10"/>
      <c r="K17" s="10"/>
      <c r="L17" s="10"/>
      <c r="M17" s="10"/>
      <c r="N17" s="10">
        <f>N20</f>
        <v>0.5</v>
      </c>
      <c r="Q17" s="19">
        <f>SUM(E16:E18)/K16*1000</f>
        <v>0.4224177665285796</v>
      </c>
      <c r="R17" s="17">
        <f t="shared" ref="R17:R18" si="12">Q$17*D17/SUM(D$16:D$18)*K$16/1000</f>
        <v>215.02471670225</v>
      </c>
      <c r="S17" s="24">
        <f t="shared" si="3"/>
        <v>2.4887119988686344</v>
      </c>
      <c r="T17">
        <f t="shared" si="4"/>
        <v>0.98593316736494807</v>
      </c>
      <c r="U17" s="25">
        <v>3.22</v>
      </c>
      <c r="V17">
        <f t="shared" si="5"/>
        <v>0.7620197837589141</v>
      </c>
      <c r="Y17" s="2">
        <f t="shared" ref="Y17:Y18" si="13">Q$17*D17/SUM(D$16:D$18)*K$16/1000</f>
        <v>215.02471670225</v>
      </c>
      <c r="Z17">
        <f t="shared" si="7"/>
        <v>0.98593316736494807</v>
      </c>
    </row>
    <row r="18" spans="1:26">
      <c r="A18" s="10">
        <v>17</v>
      </c>
      <c r="B18" s="11" t="s">
        <v>41</v>
      </c>
      <c r="C18" s="11" t="s">
        <v>44</v>
      </c>
      <c r="D18" s="10">
        <v>154.6</v>
      </c>
      <c r="E18" s="10">
        <v>394</v>
      </c>
      <c r="F18" s="24">
        <f t="shared" si="8"/>
        <v>4.5601851851851851</v>
      </c>
      <c r="G18" s="10"/>
      <c r="H18" s="12">
        <f t="shared" si="9"/>
        <v>2.5485122897800781E-3</v>
      </c>
      <c r="I18" s="10"/>
      <c r="J18" s="10"/>
      <c r="K18" s="10"/>
      <c r="L18" s="10"/>
      <c r="M18" s="10"/>
      <c r="N18" s="10"/>
      <c r="R18" s="17">
        <f t="shared" si="12"/>
        <v>418.14869436689111</v>
      </c>
      <c r="S18" s="24">
        <f t="shared" si="3"/>
        <v>4.8396839625797581</v>
      </c>
      <c r="T18">
        <f t="shared" si="4"/>
        <v>0.94224854772426336</v>
      </c>
      <c r="U18" s="25">
        <v>6.3</v>
      </c>
      <c r="V18">
        <f t="shared" si="5"/>
        <v>0.72383891828336278</v>
      </c>
      <c r="Y18" s="2">
        <f t="shared" si="13"/>
        <v>418.14869436689111</v>
      </c>
      <c r="Z18">
        <f t="shared" si="7"/>
        <v>0.94224854772426336</v>
      </c>
    </row>
    <row r="20" spans="1:26">
      <c r="E20">
        <f>SUM(E16:E19)</f>
        <v>1646.9</v>
      </c>
      <c r="I20" s="10">
        <f>0.29*1109/1200</f>
        <v>0.26800833333333329</v>
      </c>
      <c r="N20">
        <f>0.5</f>
        <v>0.5</v>
      </c>
    </row>
    <row r="21" spans="1:26">
      <c r="N21">
        <f>0.382*0.21</f>
        <v>8.022E-2</v>
      </c>
      <c r="R21" s="8"/>
    </row>
    <row r="22" spans="1:26">
      <c r="H22" s="8"/>
      <c r="I22" s="8"/>
      <c r="J22" s="8"/>
      <c r="K22" s="8"/>
      <c r="L22" s="8"/>
    </row>
    <row r="23" spans="1:26">
      <c r="H23" s="8"/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1A78-07B6-4E59-B2F4-6A6BD72BFA75}">
  <dimension ref="A1:AN40"/>
  <sheetViews>
    <sheetView zoomScale="70" zoomScaleNormal="70" workbookViewId="0">
      <selection activeCell="I45" sqref="I45"/>
    </sheetView>
  </sheetViews>
  <sheetFormatPr defaultColWidth="9" defaultRowHeight="14.5"/>
  <cols>
    <col min="1" max="1" width="20" customWidth="1"/>
    <col min="34" max="34" width="16" bestFit="1" customWidth="1"/>
    <col min="35" max="35" width="20.90625" bestFit="1" customWidth="1"/>
  </cols>
  <sheetData>
    <row r="1" spans="1:40">
      <c r="E1" t="s">
        <v>53</v>
      </c>
      <c r="N1" t="s">
        <v>54</v>
      </c>
    </row>
    <row r="2" spans="1:40" s="28" customFormat="1" ht="43.5">
      <c r="A2" s="27" t="s">
        <v>55</v>
      </c>
      <c r="B2" s="27" t="s">
        <v>56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 t="s">
        <v>62</v>
      </c>
      <c r="I2" s="27" t="s">
        <v>63</v>
      </c>
      <c r="J2" s="27"/>
      <c r="K2" s="27" t="s">
        <v>56</v>
      </c>
      <c r="L2" s="27" t="s">
        <v>57</v>
      </c>
      <c r="M2" s="27" t="s">
        <v>58</v>
      </c>
      <c r="N2" s="27" t="s">
        <v>59</v>
      </c>
      <c r="O2" s="27" t="s">
        <v>60</v>
      </c>
      <c r="P2" s="27" t="s">
        <v>61</v>
      </c>
      <c r="Q2" s="27" t="s">
        <v>62</v>
      </c>
      <c r="R2" s="27" t="s">
        <v>63</v>
      </c>
      <c r="T2" s="29" t="s">
        <v>64</v>
      </c>
      <c r="U2" s="29" t="s">
        <v>65</v>
      </c>
      <c r="V2" s="29" t="s">
        <v>66</v>
      </c>
      <c r="W2" s="29" t="s">
        <v>67</v>
      </c>
      <c r="X2" s="29" t="s">
        <v>61</v>
      </c>
      <c r="Y2" s="29"/>
      <c r="Z2" s="29" t="s">
        <v>64</v>
      </c>
      <c r="AA2" s="29" t="s">
        <v>65</v>
      </c>
      <c r="AB2" s="29" t="s">
        <v>66</v>
      </c>
      <c r="AC2" s="29" t="s">
        <v>67</v>
      </c>
      <c r="AD2" s="29" t="s">
        <v>61</v>
      </c>
      <c r="AE2" s="29"/>
      <c r="AG2" s="27" t="s">
        <v>56</v>
      </c>
      <c r="AH2" s="27" t="s">
        <v>57</v>
      </c>
      <c r="AI2" s="27" t="s">
        <v>58</v>
      </c>
      <c r="AJ2" s="27" t="s">
        <v>59</v>
      </c>
      <c r="AK2" s="27" t="s">
        <v>60</v>
      </c>
      <c r="AL2" s="27" t="s">
        <v>61</v>
      </c>
      <c r="AM2" s="27" t="s">
        <v>62</v>
      </c>
      <c r="AN2" s="27" t="s">
        <v>63</v>
      </c>
    </row>
    <row r="3" spans="1:40" s="28" customFormat="1" ht="29">
      <c r="A3" s="27"/>
      <c r="B3" s="27"/>
      <c r="C3" s="27"/>
      <c r="D3" s="27"/>
      <c r="E3" s="27"/>
      <c r="F3" s="27"/>
      <c r="G3" s="27"/>
      <c r="H3" s="27"/>
      <c r="I3" s="27"/>
      <c r="J3" s="27"/>
      <c r="K3" s="27" t="s">
        <v>68</v>
      </c>
      <c r="L3" s="30" t="s">
        <v>69</v>
      </c>
      <c r="M3" s="30" t="s">
        <v>70</v>
      </c>
      <c r="N3" s="27" t="s">
        <v>71</v>
      </c>
      <c r="O3" s="27" t="s">
        <v>72</v>
      </c>
      <c r="P3" s="30" t="s">
        <v>73</v>
      </c>
      <c r="Q3" s="30" t="s">
        <v>74</v>
      </c>
      <c r="R3" s="27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G3" s="27"/>
      <c r="AH3" s="27"/>
      <c r="AI3" s="27"/>
      <c r="AJ3" s="27"/>
      <c r="AK3" s="27"/>
      <c r="AL3" s="27"/>
      <c r="AM3" s="27"/>
      <c r="AN3" s="27"/>
    </row>
    <row r="4" spans="1:40">
      <c r="A4" s="31">
        <v>42281.375</v>
      </c>
      <c r="B4" s="32">
        <v>2676.2364864349402</v>
      </c>
      <c r="C4" s="32">
        <v>3247.1086263656598</v>
      </c>
      <c r="D4" s="32">
        <v>5429.6090126037598</v>
      </c>
      <c r="E4" s="32">
        <v>16587.772750854499</v>
      </c>
      <c r="F4" s="32">
        <v>12518.4814453125</v>
      </c>
      <c r="G4" s="33">
        <v>19306.801414489699</v>
      </c>
      <c r="H4" s="33">
        <v>2405.7796955108602</v>
      </c>
      <c r="I4" s="34">
        <v>62692.485809326201</v>
      </c>
      <c r="J4" s="34"/>
      <c r="K4" s="34">
        <v>0.6</v>
      </c>
      <c r="L4" s="34">
        <v>0.05</v>
      </c>
      <c r="M4" s="34">
        <v>0.9</v>
      </c>
      <c r="N4" s="34">
        <v>0.05</v>
      </c>
      <c r="O4" s="34">
        <v>0.05</v>
      </c>
      <c r="P4" s="34">
        <v>0.2</v>
      </c>
      <c r="Q4" s="34">
        <v>0.05</v>
      </c>
      <c r="R4" s="34">
        <v>0.3</v>
      </c>
      <c r="T4" s="8">
        <f>B4+C4</f>
        <v>5923.3451128006</v>
      </c>
      <c r="U4" s="8">
        <f>B4+C4+D4+E4</f>
        <v>27940.726876258857</v>
      </c>
      <c r="V4" s="8">
        <f>B4+C4+D4+E4+F4</f>
        <v>40459.208321571357</v>
      </c>
      <c r="W4" s="8">
        <f>G4+H4</f>
        <v>21712.581110000559</v>
      </c>
      <c r="X4" s="8">
        <f>G4</f>
        <v>19306.801414489699</v>
      </c>
      <c r="Y4" s="8"/>
      <c r="Z4" s="8">
        <f>T4*24/1000000</f>
        <v>0.14216028270721442</v>
      </c>
      <c r="AA4" s="8">
        <f t="shared" ref="AA4:AD4" si="0">U4*24/1000000</f>
        <v>0.67057744503021266</v>
      </c>
      <c r="AB4" s="8">
        <f t="shared" si="0"/>
        <v>0.97102099971771261</v>
      </c>
      <c r="AC4" s="8">
        <f t="shared" si="0"/>
        <v>0.52110194664001341</v>
      </c>
      <c r="AD4" s="8">
        <f t="shared" si="0"/>
        <v>0.46336323394775275</v>
      </c>
      <c r="AE4" s="8"/>
      <c r="AF4" s="8" t="s">
        <v>75</v>
      </c>
      <c r="AG4">
        <f t="shared" ref="AG4:AN4" si="1">AVERAGE(B:B)</f>
        <v>2436.8005127520178</v>
      </c>
      <c r="AH4">
        <f t="shared" si="1"/>
        <v>2918.1756019592281</v>
      </c>
      <c r="AI4">
        <f t="shared" si="1"/>
        <v>5691.0341127498732</v>
      </c>
      <c r="AJ4">
        <f t="shared" si="1"/>
        <v>14769.473555281356</v>
      </c>
      <c r="AK4">
        <f t="shared" si="1"/>
        <v>9849.1960847699957</v>
      </c>
      <c r="AL4">
        <f t="shared" si="1"/>
        <v>9946.6432668067282</v>
      </c>
      <c r="AM4">
        <f t="shared" si="1"/>
        <v>2521.3312432572648</v>
      </c>
      <c r="AN4">
        <f t="shared" si="1"/>
        <v>47800.876947351404</v>
      </c>
    </row>
    <row r="5" spans="1:40">
      <c r="A5" s="31">
        <v>42281.458333333299</v>
      </c>
      <c r="B5" s="34">
        <v>2644.6947813034099</v>
      </c>
      <c r="C5" s="34">
        <v>3303.96437644958</v>
      </c>
      <c r="D5" s="34">
        <v>5342.81444549561</v>
      </c>
      <c r="E5" s="34">
        <v>16834.130859375</v>
      </c>
      <c r="F5" s="34">
        <v>9407.3292732238806</v>
      </c>
      <c r="G5" s="34">
        <v>10929.089355468701</v>
      </c>
      <c r="H5" s="34">
        <v>2943.5269832611102</v>
      </c>
      <c r="I5" s="34">
        <v>50340.890121459997</v>
      </c>
      <c r="J5" s="34"/>
      <c r="K5" s="34">
        <v>0.05</v>
      </c>
      <c r="L5" s="34">
        <v>0.3</v>
      </c>
      <c r="M5" s="34">
        <v>1</v>
      </c>
      <c r="N5" s="34">
        <v>1.2</v>
      </c>
      <c r="O5" s="34">
        <v>0.05</v>
      </c>
      <c r="P5" s="34">
        <v>0.1</v>
      </c>
      <c r="Q5" s="34">
        <v>0.2</v>
      </c>
      <c r="R5" s="34">
        <v>0.2</v>
      </c>
      <c r="T5" s="8">
        <f t="shared" ref="T5:T40" si="2">B5+C5</f>
        <v>5948.6591577529898</v>
      </c>
      <c r="U5" s="8">
        <f t="shared" ref="U5:U40" si="3">B5+C5+D5+E5</f>
        <v>28125.6044626236</v>
      </c>
      <c r="V5" s="8">
        <f t="shared" ref="V5:V40" si="4">B5+C5+D5+E5+F5</f>
        <v>37532.93373584748</v>
      </c>
      <c r="W5" s="8">
        <f t="shared" ref="W5:W40" si="5">G5+H5</f>
        <v>13872.616338729811</v>
      </c>
      <c r="X5" s="8">
        <f t="shared" ref="X5:X40" si="6">G5</f>
        <v>10929.089355468701</v>
      </c>
      <c r="Y5" s="8"/>
      <c r="Z5" s="8">
        <f t="shared" ref="Z5:AD40" si="7">T5*24</f>
        <v>142767.81978607175</v>
      </c>
      <c r="AA5" s="8">
        <f t="shared" si="7"/>
        <v>675014.50710296643</v>
      </c>
      <c r="AB5" s="8">
        <f t="shared" si="7"/>
        <v>900790.40966033959</v>
      </c>
      <c r="AC5" s="8">
        <f t="shared" si="7"/>
        <v>332942.79212951544</v>
      </c>
      <c r="AD5" s="8">
        <f t="shared" si="7"/>
        <v>262298.14453124884</v>
      </c>
      <c r="AE5" s="8"/>
      <c r="AF5" s="8" t="s">
        <v>76</v>
      </c>
      <c r="AG5">
        <f>AG4*24</f>
        <v>58483.21230604843</v>
      </c>
      <c r="AH5">
        <f t="shared" ref="AH5:AN5" si="8">AH4*24</f>
        <v>70036.21444702147</v>
      </c>
      <c r="AI5">
        <f t="shared" si="8"/>
        <v>136584.81870599696</v>
      </c>
      <c r="AJ5">
        <f t="shared" si="8"/>
        <v>354467.36532675254</v>
      </c>
      <c r="AK5">
        <f t="shared" si="8"/>
        <v>236380.7060344799</v>
      </c>
      <c r="AL5">
        <f t="shared" si="8"/>
        <v>238719.43840336148</v>
      </c>
      <c r="AM5">
        <f t="shared" si="8"/>
        <v>60511.949838174354</v>
      </c>
      <c r="AN5">
        <f t="shared" si="8"/>
        <v>1147221.0467364336</v>
      </c>
    </row>
    <row r="6" spans="1:40">
      <c r="A6" s="31">
        <v>42281.541666666701</v>
      </c>
      <c r="B6" s="34">
        <v>2514.0233516693102</v>
      </c>
      <c r="C6" s="34">
        <v>3067.2935485839798</v>
      </c>
      <c r="D6" s="34">
        <v>5322.3395347595197</v>
      </c>
      <c r="E6" s="34">
        <v>13796.8505859375</v>
      </c>
      <c r="F6" s="34">
        <v>13661.9384765625</v>
      </c>
      <c r="G6" s="34">
        <v>9842.2556877136194</v>
      </c>
      <c r="H6" s="34">
        <v>2690.0846242904699</v>
      </c>
      <c r="I6" s="34">
        <v>44201.671600341797</v>
      </c>
      <c r="J6" s="34"/>
      <c r="K6" s="34">
        <v>1.1000000000000001</v>
      </c>
      <c r="L6" s="34">
        <v>0.4</v>
      </c>
      <c r="M6" s="34">
        <v>1.4</v>
      </c>
      <c r="N6" s="34">
        <v>0.3</v>
      </c>
      <c r="O6" s="34">
        <v>0.05</v>
      </c>
      <c r="P6" s="34">
        <v>0.2</v>
      </c>
      <c r="Q6" s="34">
        <v>0.3</v>
      </c>
      <c r="R6" s="34">
        <v>0.7</v>
      </c>
      <c r="T6" s="8">
        <f t="shared" si="2"/>
        <v>5581.3169002532904</v>
      </c>
      <c r="U6" s="8">
        <f t="shared" si="3"/>
        <v>24700.50702095031</v>
      </c>
      <c r="V6" s="8">
        <f t="shared" si="4"/>
        <v>38362.44549751281</v>
      </c>
      <c r="W6" s="8">
        <f t="shared" si="5"/>
        <v>12532.340312004089</v>
      </c>
      <c r="X6" s="8">
        <f t="shared" si="6"/>
        <v>9842.2556877136194</v>
      </c>
      <c r="Y6" s="8"/>
      <c r="Z6" s="8">
        <f t="shared" si="7"/>
        <v>133951.60560607899</v>
      </c>
      <c r="AA6" s="8">
        <f t="shared" si="7"/>
        <v>592812.16850280738</v>
      </c>
      <c r="AB6" s="8">
        <f t="shared" si="7"/>
        <v>920698.69194030738</v>
      </c>
      <c r="AC6" s="8">
        <f t="shared" si="7"/>
        <v>300776.16748809814</v>
      </c>
      <c r="AD6" s="8">
        <f t="shared" si="7"/>
        <v>236214.13650512687</v>
      </c>
      <c r="AE6" s="8"/>
      <c r="AH6" s="34">
        <v>128568</v>
      </c>
    </row>
    <row r="7" spans="1:40">
      <c r="A7" s="31">
        <v>42281.625</v>
      </c>
      <c r="B7" s="34">
        <v>2320.5431699752799</v>
      </c>
      <c r="C7" s="34">
        <v>2910.8066082000701</v>
      </c>
      <c r="D7" s="34">
        <v>7327.4456977844202</v>
      </c>
      <c r="E7" s="34">
        <v>13277.197265625</v>
      </c>
      <c r="F7" s="34">
        <v>14585.801124572799</v>
      </c>
      <c r="G7" s="34">
        <v>9422.2706794738806</v>
      </c>
      <c r="H7" s="34">
        <v>2568.6818361282299</v>
      </c>
      <c r="I7" s="34">
        <v>53136.999893188498</v>
      </c>
      <c r="J7" s="34"/>
      <c r="K7" s="34">
        <v>1.2</v>
      </c>
      <c r="L7" s="34">
        <v>0.3</v>
      </c>
      <c r="M7" s="34">
        <v>3</v>
      </c>
      <c r="N7" s="34">
        <v>0.8</v>
      </c>
      <c r="O7" s="34">
        <v>0.4</v>
      </c>
      <c r="P7" s="34">
        <v>0.1</v>
      </c>
      <c r="Q7" s="34">
        <v>0.4</v>
      </c>
      <c r="R7" s="34">
        <v>1.5</v>
      </c>
      <c r="T7" s="8">
        <f t="shared" si="2"/>
        <v>5231.3497781753504</v>
      </c>
      <c r="U7" s="8">
        <f t="shared" si="3"/>
        <v>25835.992741584771</v>
      </c>
      <c r="V7" s="8">
        <f t="shared" si="4"/>
        <v>40421.793866157568</v>
      </c>
      <c r="W7" s="8">
        <f t="shared" si="5"/>
        <v>11990.95251560211</v>
      </c>
      <c r="X7" s="8">
        <f t="shared" si="6"/>
        <v>9422.2706794738806</v>
      </c>
      <c r="Y7" s="8"/>
      <c r="Z7" s="8">
        <f t="shared" si="7"/>
        <v>125552.39467620841</v>
      </c>
      <c r="AA7" s="8">
        <f t="shared" si="7"/>
        <v>620063.82579803444</v>
      </c>
      <c r="AB7" s="8">
        <f t="shared" si="7"/>
        <v>970123.05278778169</v>
      </c>
      <c r="AC7" s="8">
        <f t="shared" si="7"/>
        <v>287782.86037445063</v>
      </c>
      <c r="AD7" s="8">
        <f t="shared" si="7"/>
        <v>226134.49630737313</v>
      </c>
      <c r="AE7" s="8"/>
    </row>
    <row r="8" spans="1:40">
      <c r="A8" s="31">
        <v>42281.708333333299</v>
      </c>
      <c r="B8" s="34">
        <v>2292.0126199722299</v>
      </c>
      <c r="C8" s="34">
        <v>2914.9449348449698</v>
      </c>
      <c r="D8" s="34">
        <v>6623.7490653991699</v>
      </c>
      <c r="E8" s="34">
        <v>13168.125343322799</v>
      </c>
      <c r="F8" s="34">
        <v>9225.7029533386194</v>
      </c>
      <c r="G8" s="34">
        <v>9269.2088127136194</v>
      </c>
      <c r="H8" s="34">
        <v>2478.2617807388301</v>
      </c>
      <c r="I8" s="34">
        <v>44180.121231079102</v>
      </c>
      <c r="J8" s="34"/>
      <c r="K8" s="34">
        <v>0.2</v>
      </c>
      <c r="L8" s="34">
        <v>0.4</v>
      </c>
      <c r="M8" s="34">
        <v>3.3</v>
      </c>
      <c r="N8" s="34">
        <v>0.7</v>
      </c>
      <c r="O8" s="34">
        <v>0.7</v>
      </c>
      <c r="P8" s="34">
        <v>0.2</v>
      </c>
      <c r="Q8" s="34">
        <v>0.4</v>
      </c>
      <c r="R8" s="34">
        <v>0.5</v>
      </c>
      <c r="T8" s="8">
        <f t="shared" si="2"/>
        <v>5206.9575548171997</v>
      </c>
      <c r="U8" s="8">
        <f t="shared" si="3"/>
        <v>24998.831963539167</v>
      </c>
      <c r="V8" s="8">
        <f t="shared" si="4"/>
        <v>34224.53491687779</v>
      </c>
      <c r="W8" s="8">
        <f t="shared" si="5"/>
        <v>11747.47059345245</v>
      </c>
      <c r="X8" s="8">
        <f t="shared" si="6"/>
        <v>9269.2088127136194</v>
      </c>
      <c r="Y8" s="8"/>
      <c r="Z8" s="8">
        <f t="shared" si="7"/>
        <v>124966.98131561279</v>
      </c>
      <c r="AA8" s="8">
        <f t="shared" si="7"/>
        <v>599971.96712494001</v>
      </c>
      <c r="AB8" s="8">
        <f t="shared" si="7"/>
        <v>821388.83800506697</v>
      </c>
      <c r="AC8" s="8">
        <f t="shared" si="7"/>
        <v>281939.29424285877</v>
      </c>
      <c r="AD8" s="8">
        <f t="shared" si="7"/>
        <v>222461.01150512687</v>
      </c>
      <c r="AE8" s="8"/>
      <c r="AG8" s="34" t="s">
        <v>56</v>
      </c>
      <c r="AH8" s="34" t="s">
        <v>57</v>
      </c>
      <c r="AI8" s="34" t="s">
        <v>58</v>
      </c>
      <c r="AJ8" s="34" t="s">
        <v>59</v>
      </c>
      <c r="AK8" s="34" t="s">
        <v>60</v>
      </c>
      <c r="AL8" s="34" t="s">
        <v>61</v>
      </c>
      <c r="AM8" s="34" t="s">
        <v>62</v>
      </c>
      <c r="AN8" s="34" t="s">
        <v>63</v>
      </c>
    </row>
    <row r="9" spans="1:40">
      <c r="A9" s="31">
        <v>42281.791666666701</v>
      </c>
      <c r="B9" s="34">
        <v>2716.3745641708401</v>
      </c>
      <c r="C9" s="34">
        <v>3389.16614055634</v>
      </c>
      <c r="D9" s="34">
        <v>6417.0906543731699</v>
      </c>
      <c r="E9" s="34">
        <v>15203.759765625</v>
      </c>
      <c r="F9" s="34">
        <v>9300.9378433227503</v>
      </c>
      <c r="G9" s="34">
        <v>10447.7122306824</v>
      </c>
      <c r="H9" s="34">
        <v>2417.23058223724</v>
      </c>
      <c r="I9" s="34">
        <v>52152.848052978501</v>
      </c>
      <c r="J9" s="34"/>
      <c r="K9" s="34">
        <v>1.4</v>
      </c>
      <c r="L9" s="34">
        <v>0.3</v>
      </c>
      <c r="M9" s="34">
        <v>2.5</v>
      </c>
      <c r="N9" s="34">
        <v>0.5</v>
      </c>
      <c r="O9" s="34">
        <v>0.5</v>
      </c>
      <c r="P9" s="34">
        <v>0.2</v>
      </c>
      <c r="Q9" s="34">
        <v>0.2</v>
      </c>
      <c r="R9" s="34">
        <v>1.7</v>
      </c>
      <c r="T9" s="8">
        <f t="shared" si="2"/>
        <v>6105.5407047271801</v>
      </c>
      <c r="U9" s="8">
        <f t="shared" si="3"/>
        <v>27726.391124725349</v>
      </c>
      <c r="V9" s="8">
        <f t="shared" si="4"/>
        <v>37027.328968048096</v>
      </c>
      <c r="W9" s="8">
        <f t="shared" si="5"/>
        <v>12864.94281291964</v>
      </c>
      <c r="X9" s="8">
        <f t="shared" si="6"/>
        <v>10447.7122306824</v>
      </c>
      <c r="Y9" s="8"/>
      <c r="Z9" s="8">
        <f t="shared" si="7"/>
        <v>146532.97691345232</v>
      </c>
      <c r="AA9" s="8">
        <f t="shared" si="7"/>
        <v>665433.38699340844</v>
      </c>
      <c r="AB9" s="8">
        <f t="shared" si="7"/>
        <v>888655.8952331543</v>
      </c>
      <c r="AC9" s="8">
        <f t="shared" si="7"/>
        <v>308758.62751007138</v>
      </c>
      <c r="AD9" s="8">
        <f t="shared" si="7"/>
        <v>250745.09353637759</v>
      </c>
      <c r="AE9" s="8"/>
      <c r="AG9">
        <f t="shared" ref="AG9:AN9" si="9">_xlfn.STDEV.P(B:B)</f>
        <v>574.19156088382624</v>
      </c>
      <c r="AH9">
        <f t="shared" si="9"/>
        <v>678.74578115485633</v>
      </c>
      <c r="AI9">
        <f t="shared" si="9"/>
        <v>1471.0566981832656</v>
      </c>
      <c r="AJ9">
        <f t="shared" si="9"/>
        <v>3811.143505859508</v>
      </c>
      <c r="AK9">
        <f t="shared" si="9"/>
        <v>2414.7238542204936</v>
      </c>
      <c r="AL9">
        <f t="shared" si="9"/>
        <v>3456.8898537227428</v>
      </c>
      <c r="AM9">
        <f t="shared" si="9"/>
        <v>857.61645532300179</v>
      </c>
      <c r="AN9">
        <f t="shared" si="9"/>
        <v>10706.037478658123</v>
      </c>
    </row>
    <row r="10" spans="1:40">
      <c r="A10" s="31">
        <v>42281.875</v>
      </c>
      <c r="B10" s="34">
        <v>2836.8529558181799</v>
      </c>
      <c r="C10" s="34">
        <v>3719.2604541778601</v>
      </c>
      <c r="D10" s="34">
        <v>6592.7671909332303</v>
      </c>
      <c r="E10" s="34">
        <v>23011.962890625</v>
      </c>
      <c r="F10" s="34">
        <v>9061.8307113647497</v>
      </c>
      <c r="G10" s="34">
        <v>11545.9939956665</v>
      </c>
      <c r="H10" s="34">
        <v>3737.3333930969202</v>
      </c>
      <c r="I10" s="34">
        <v>63444.465637207002</v>
      </c>
      <c r="J10" s="34"/>
      <c r="K10" s="34">
        <v>0.9</v>
      </c>
      <c r="L10" s="34">
        <v>0.4</v>
      </c>
      <c r="M10" s="34">
        <v>1.9</v>
      </c>
      <c r="N10" s="34">
        <v>0.5</v>
      </c>
      <c r="O10" s="34">
        <v>0.2</v>
      </c>
      <c r="P10" s="34">
        <v>0.2</v>
      </c>
      <c r="Q10" s="34">
        <v>0.4</v>
      </c>
      <c r="R10" s="34">
        <v>2.5</v>
      </c>
      <c r="T10" s="8">
        <f t="shared" si="2"/>
        <v>6556.11340999604</v>
      </c>
      <c r="U10" s="8">
        <f t="shared" si="3"/>
        <v>36160.843491554275</v>
      </c>
      <c r="V10" s="8">
        <f t="shared" si="4"/>
        <v>45222.674202919021</v>
      </c>
      <c r="W10" s="8">
        <f t="shared" si="5"/>
        <v>15283.32738876342</v>
      </c>
      <c r="X10" s="8">
        <f t="shared" si="6"/>
        <v>11545.9939956665</v>
      </c>
      <c r="Y10" s="8"/>
      <c r="Z10" s="8">
        <f t="shared" si="7"/>
        <v>157346.72183990496</v>
      </c>
      <c r="AA10" s="8">
        <f t="shared" si="7"/>
        <v>867860.2437973026</v>
      </c>
      <c r="AB10" s="8">
        <f t="shared" si="7"/>
        <v>1085344.1808700566</v>
      </c>
      <c r="AC10" s="8">
        <f t="shared" si="7"/>
        <v>366799.85733032209</v>
      </c>
      <c r="AD10" s="8">
        <f t="shared" si="7"/>
        <v>277103.85589599598</v>
      </c>
      <c r="AE10" s="8"/>
      <c r="AF10" s="8" t="s">
        <v>76</v>
      </c>
      <c r="AG10">
        <f>AG9*24</f>
        <v>13780.59746121183</v>
      </c>
      <c r="AH10">
        <f t="shared" ref="AH10:AM10" si="10">AH9*24</f>
        <v>16289.898747716552</v>
      </c>
      <c r="AI10">
        <f t="shared" si="10"/>
        <v>35305.360756398375</v>
      </c>
      <c r="AJ10">
        <f t="shared" si="10"/>
        <v>91467.444140628184</v>
      </c>
      <c r="AK10">
        <f t="shared" si="10"/>
        <v>57953.372501291844</v>
      </c>
      <c r="AL10">
        <f t="shared" si="10"/>
        <v>82965.356489345824</v>
      </c>
      <c r="AM10">
        <f t="shared" si="10"/>
        <v>20582.794927752042</v>
      </c>
      <c r="AN10">
        <f>AN9*24</f>
        <v>256944.89948779496</v>
      </c>
    </row>
    <row r="11" spans="1:40">
      <c r="A11" s="31">
        <v>42281.958333333299</v>
      </c>
      <c r="B11" s="34">
        <v>3613.2054805755602</v>
      </c>
      <c r="C11" s="34">
        <v>3799.3713855743399</v>
      </c>
      <c r="D11" s="34">
        <v>6658.9070320129404</v>
      </c>
      <c r="E11" s="34">
        <v>18393.75</v>
      </c>
      <c r="F11" s="34">
        <v>9328.7109375</v>
      </c>
      <c r="G11" s="34">
        <v>11586.7747306824</v>
      </c>
      <c r="H11" s="34">
        <v>3602.63671875</v>
      </c>
      <c r="I11" s="34">
        <v>57651.6494750977</v>
      </c>
      <c r="J11" s="34"/>
      <c r="K11" s="34">
        <v>0.8</v>
      </c>
      <c r="L11" s="34">
        <v>0.4</v>
      </c>
      <c r="M11" s="34">
        <v>1.4</v>
      </c>
      <c r="N11" s="34">
        <v>0.7</v>
      </c>
      <c r="O11" s="34">
        <v>0.4</v>
      </c>
      <c r="P11" s="34">
        <v>0.3</v>
      </c>
      <c r="Q11" s="34">
        <v>0.6</v>
      </c>
      <c r="R11" s="34">
        <v>1.9</v>
      </c>
      <c r="T11" s="8">
        <f t="shared" si="2"/>
        <v>7412.5768661499005</v>
      </c>
      <c r="U11" s="8">
        <f t="shared" si="3"/>
        <v>32465.233898162842</v>
      </c>
      <c r="V11" s="8">
        <f t="shared" si="4"/>
        <v>41793.944835662842</v>
      </c>
      <c r="W11" s="8">
        <f t="shared" si="5"/>
        <v>15189.4114494324</v>
      </c>
      <c r="X11" s="8">
        <f t="shared" si="6"/>
        <v>11586.7747306824</v>
      </c>
      <c r="Y11" s="8"/>
      <c r="Z11" s="8">
        <f t="shared" si="7"/>
        <v>177901.8447875976</v>
      </c>
      <c r="AA11" s="8">
        <f t="shared" si="7"/>
        <v>779165.6135559082</v>
      </c>
      <c r="AB11" s="8">
        <f t="shared" si="7"/>
        <v>1003054.6760559082</v>
      </c>
      <c r="AC11" s="8">
        <f t="shared" si="7"/>
        <v>364545.87478637759</v>
      </c>
      <c r="AD11" s="8">
        <f t="shared" si="7"/>
        <v>278082.59353637759</v>
      </c>
      <c r="AE11" s="8"/>
    </row>
    <row r="12" spans="1:40">
      <c r="A12" s="31">
        <v>42282.041666666701</v>
      </c>
      <c r="B12" s="34">
        <v>2485.986328125</v>
      </c>
      <c r="C12" s="34">
        <v>3743.8706874847398</v>
      </c>
      <c r="D12" s="34">
        <v>6649.6780872344998</v>
      </c>
      <c r="E12" s="34">
        <v>15416.455078125</v>
      </c>
      <c r="F12" s="34">
        <v>9340.576171875</v>
      </c>
      <c r="G12" s="34">
        <v>9171.4090347290003</v>
      </c>
      <c r="H12" s="34">
        <v>2396.7406511306799</v>
      </c>
      <c r="I12" s="34">
        <v>46340.407562255903</v>
      </c>
      <c r="J12" s="34"/>
      <c r="K12" s="34">
        <v>0.6</v>
      </c>
      <c r="L12" s="34">
        <v>0.6</v>
      </c>
      <c r="M12" s="34">
        <v>2.1</v>
      </c>
      <c r="N12" s="34">
        <v>0.05</v>
      </c>
      <c r="O12" s="34">
        <v>0.8</v>
      </c>
      <c r="P12" s="34">
        <v>0.2</v>
      </c>
      <c r="Q12" s="34">
        <v>0.4</v>
      </c>
      <c r="R12" s="34">
        <v>1.7</v>
      </c>
      <c r="T12" s="8">
        <f t="shared" si="2"/>
        <v>6229.8570156097394</v>
      </c>
      <c r="U12" s="8">
        <f t="shared" si="3"/>
        <v>28295.990180969238</v>
      </c>
      <c r="V12" s="8">
        <f t="shared" si="4"/>
        <v>37636.566352844238</v>
      </c>
      <c r="W12" s="8">
        <f t="shared" si="5"/>
        <v>11568.14968585968</v>
      </c>
      <c r="X12" s="8">
        <f t="shared" si="6"/>
        <v>9171.4090347290003</v>
      </c>
      <c r="Y12" s="8"/>
      <c r="Z12" s="8">
        <f t="shared" si="7"/>
        <v>149516.56837463373</v>
      </c>
      <c r="AA12" s="8">
        <f t="shared" si="7"/>
        <v>679103.76434326172</v>
      </c>
      <c r="AB12" s="8">
        <f t="shared" si="7"/>
        <v>903277.59246826172</v>
      </c>
      <c r="AC12" s="8">
        <f t="shared" si="7"/>
        <v>277635.59246063232</v>
      </c>
      <c r="AD12" s="8">
        <f t="shared" si="7"/>
        <v>220113.81683349601</v>
      </c>
      <c r="AE12" s="8"/>
    </row>
    <row r="13" spans="1:40">
      <c r="A13" s="31">
        <v>42282.125</v>
      </c>
      <c r="B13" s="34">
        <v>1613.6553525924701</v>
      </c>
      <c r="C13" s="34">
        <v>1775.3350496292101</v>
      </c>
      <c r="D13" s="34">
        <v>6270.5283164978</v>
      </c>
      <c r="E13" s="34">
        <v>10062.59765625</v>
      </c>
      <c r="F13" s="34">
        <v>6281.0374259948703</v>
      </c>
      <c r="G13" s="34">
        <v>6161.9679450988797</v>
      </c>
      <c r="H13" s="34">
        <v>1119.54106092453</v>
      </c>
      <c r="I13" s="34">
        <v>32948.207473754897</v>
      </c>
      <c r="J13" s="34"/>
      <c r="K13" s="34">
        <v>1</v>
      </c>
      <c r="L13" s="34">
        <v>0.4</v>
      </c>
      <c r="M13" s="34">
        <v>2</v>
      </c>
      <c r="N13" s="34">
        <v>0.6</v>
      </c>
      <c r="O13" s="34">
        <v>0.3</v>
      </c>
      <c r="P13" s="34">
        <v>0.3</v>
      </c>
      <c r="Q13" s="34">
        <v>0.3</v>
      </c>
      <c r="R13" s="34">
        <v>2.2000000000000002</v>
      </c>
      <c r="T13" s="8">
        <f t="shared" si="2"/>
        <v>3388.9904022216801</v>
      </c>
      <c r="U13" s="8">
        <f t="shared" si="3"/>
        <v>19722.116374969482</v>
      </c>
      <c r="V13" s="8">
        <f t="shared" si="4"/>
        <v>26003.153800964352</v>
      </c>
      <c r="W13" s="8">
        <f t="shared" si="5"/>
        <v>7281.5090060234097</v>
      </c>
      <c r="X13" s="8">
        <f t="shared" si="6"/>
        <v>6161.9679450988797</v>
      </c>
      <c r="Y13" s="8"/>
      <c r="Z13" s="8">
        <f t="shared" si="7"/>
        <v>81335.769653320327</v>
      </c>
      <c r="AA13" s="8">
        <f t="shared" si="7"/>
        <v>473330.79299926758</v>
      </c>
      <c r="AB13" s="8">
        <f t="shared" si="7"/>
        <v>624075.69122314441</v>
      </c>
      <c r="AC13" s="8">
        <f t="shared" si="7"/>
        <v>174756.21614456183</v>
      </c>
      <c r="AD13" s="8">
        <f t="shared" si="7"/>
        <v>147887.23068237311</v>
      </c>
      <c r="AE13" s="8"/>
      <c r="AG13" s="8" t="s">
        <v>64</v>
      </c>
      <c r="AH13" s="8" t="s">
        <v>65</v>
      </c>
      <c r="AI13" s="8" t="s">
        <v>66</v>
      </c>
      <c r="AJ13" s="8" t="s">
        <v>67</v>
      </c>
      <c r="AK13" s="8" t="s">
        <v>61</v>
      </c>
    </row>
    <row r="14" spans="1:40">
      <c r="A14" s="31">
        <v>42282.208333333299</v>
      </c>
      <c r="B14" s="34">
        <v>1341.6119813919099</v>
      </c>
      <c r="C14" s="34">
        <v>1588.7814044952399</v>
      </c>
      <c r="D14" s="34">
        <v>3870.3816890716598</v>
      </c>
      <c r="E14" s="34">
        <v>6488.3056640625</v>
      </c>
      <c r="F14" s="34">
        <v>5272.6465702056903</v>
      </c>
      <c r="G14" s="34">
        <v>2478.4991025924701</v>
      </c>
      <c r="H14" s="34">
        <v>934.415745735168</v>
      </c>
      <c r="I14" s="34">
        <v>25732.4970245361</v>
      </c>
      <c r="J14" s="34"/>
      <c r="K14" s="34">
        <v>0.7</v>
      </c>
      <c r="L14" s="34">
        <v>0.4</v>
      </c>
      <c r="M14" s="34">
        <v>1.7</v>
      </c>
      <c r="N14" s="34">
        <v>0.8</v>
      </c>
      <c r="O14" s="34">
        <v>0.4</v>
      </c>
      <c r="P14" s="34">
        <v>0.3</v>
      </c>
      <c r="Q14" s="34">
        <v>0.5</v>
      </c>
      <c r="R14" s="34">
        <v>2.2000000000000002</v>
      </c>
      <c r="T14" s="8">
        <f t="shared" si="2"/>
        <v>2930.3933858871496</v>
      </c>
      <c r="U14" s="8">
        <f t="shared" si="3"/>
        <v>13289.080739021309</v>
      </c>
      <c r="V14" s="8">
        <f t="shared" si="4"/>
        <v>18561.727309226997</v>
      </c>
      <c r="W14" s="8">
        <f t="shared" si="5"/>
        <v>3412.9148483276381</v>
      </c>
      <c r="X14" s="8">
        <f t="shared" si="6"/>
        <v>2478.4991025924701</v>
      </c>
      <c r="Y14" s="8"/>
      <c r="Z14" s="8">
        <f t="shared" si="7"/>
        <v>70329.441261291591</v>
      </c>
      <c r="AA14" s="8">
        <f t="shared" si="7"/>
        <v>318937.93773651141</v>
      </c>
      <c r="AB14" s="8">
        <f t="shared" si="7"/>
        <v>445481.45542144793</v>
      </c>
      <c r="AC14" s="8">
        <f t="shared" si="7"/>
        <v>81909.95635986331</v>
      </c>
      <c r="AD14" s="8">
        <f t="shared" si="7"/>
        <v>59483.978462219282</v>
      </c>
      <c r="AE14" s="8"/>
      <c r="AF14" s="8" t="s">
        <v>75</v>
      </c>
      <c r="AG14">
        <f>AVERAGE(T:T)</f>
        <v>5354.9761147112467</v>
      </c>
      <c r="AH14">
        <f>AVERAGE(U:U)</f>
        <v>25815.483782742474</v>
      </c>
      <c r="AI14">
        <f>AVERAGE(V:V)</f>
        <v>35664.679867512466</v>
      </c>
      <c r="AJ14">
        <f>AVERAGE(W:W)</f>
        <v>12467.974510063994</v>
      </c>
      <c r="AK14">
        <f>AVERAGE(X:X)</f>
        <v>9946.6432668067282</v>
      </c>
    </row>
    <row r="15" spans="1:40" ht="15" thickBot="1">
      <c r="A15" s="31">
        <v>42282.291666666701</v>
      </c>
      <c r="B15" s="34">
        <v>1919.5203065872199</v>
      </c>
      <c r="C15" s="34">
        <v>2520.89002132416</v>
      </c>
      <c r="D15" s="34">
        <v>2166.1706686019902</v>
      </c>
      <c r="E15" s="34">
        <v>10932.319164276099</v>
      </c>
      <c r="F15" s="34">
        <v>6876.7603397369403</v>
      </c>
      <c r="G15" s="34">
        <v>11114.231300354</v>
      </c>
      <c r="H15" s="34">
        <v>2217.6581382751501</v>
      </c>
      <c r="I15" s="34">
        <v>33064.744949340798</v>
      </c>
      <c r="J15" s="34"/>
      <c r="K15" s="34">
        <v>0.8</v>
      </c>
      <c r="L15" s="34">
        <v>0.8</v>
      </c>
      <c r="M15" s="34">
        <v>0.3</v>
      </c>
      <c r="N15" s="34">
        <v>0.2</v>
      </c>
      <c r="O15" s="34">
        <v>1</v>
      </c>
      <c r="P15" s="34">
        <v>0.3</v>
      </c>
      <c r="Q15" s="34">
        <v>0.4</v>
      </c>
      <c r="R15" s="34">
        <v>1.6</v>
      </c>
      <c r="T15" s="8">
        <f t="shared" si="2"/>
        <v>4440.4103279113797</v>
      </c>
      <c r="U15" s="8">
        <f t="shared" si="3"/>
        <v>17538.900160789468</v>
      </c>
      <c r="V15" s="8">
        <f t="shared" si="4"/>
        <v>24415.660500526406</v>
      </c>
      <c r="W15" s="8">
        <f t="shared" si="5"/>
        <v>13331.88943862915</v>
      </c>
      <c r="X15" s="8">
        <f t="shared" si="6"/>
        <v>11114.231300354</v>
      </c>
      <c r="Y15" s="8"/>
      <c r="Z15" s="8">
        <f t="shared" si="7"/>
        <v>106569.84786987311</v>
      </c>
      <c r="AA15" s="8">
        <f t="shared" si="7"/>
        <v>420933.60385894723</v>
      </c>
      <c r="AB15" s="8">
        <f t="shared" si="7"/>
        <v>585975.85201263381</v>
      </c>
      <c r="AC15" s="8">
        <f t="shared" si="7"/>
        <v>319965.34652709961</v>
      </c>
      <c r="AD15" s="8">
        <f t="shared" si="7"/>
        <v>266741.55120849598</v>
      </c>
      <c r="AE15" s="8"/>
      <c r="AF15" s="8" t="s">
        <v>76</v>
      </c>
      <c r="AG15">
        <f>AG14*24</f>
        <v>128519.42675306991</v>
      </c>
      <c r="AH15">
        <f t="shared" ref="AH15:AK15" si="11">AH14*24</f>
        <v>619571.61078581936</v>
      </c>
      <c r="AI15">
        <f t="shared" si="11"/>
        <v>855952.31682029925</v>
      </c>
      <c r="AJ15">
        <f t="shared" si="11"/>
        <v>299231.38824153587</v>
      </c>
      <c r="AK15">
        <f t="shared" si="11"/>
        <v>238719.43840336148</v>
      </c>
    </row>
    <row r="16" spans="1:40">
      <c r="A16" s="31">
        <v>42282.375</v>
      </c>
      <c r="B16" s="34">
        <v>2779.5300722122201</v>
      </c>
      <c r="C16" s="34">
        <v>3362.1389150619498</v>
      </c>
      <c r="D16" s="34">
        <v>5415.3263568878201</v>
      </c>
      <c r="E16" s="34">
        <v>16620.556640625</v>
      </c>
      <c r="F16" s="34">
        <v>9449.2970466613806</v>
      </c>
      <c r="G16" s="34">
        <v>10750.737476348901</v>
      </c>
      <c r="H16" s="34">
        <v>2955.9617042541499</v>
      </c>
      <c r="I16" s="34">
        <v>48552.652359008804</v>
      </c>
      <c r="J16" s="34"/>
      <c r="K16" s="34">
        <v>0.9</v>
      </c>
      <c r="L16" s="34">
        <v>0.4</v>
      </c>
      <c r="M16" s="34">
        <v>1.2</v>
      </c>
      <c r="N16" s="34">
        <v>0.6</v>
      </c>
      <c r="O16" s="34">
        <v>0.2</v>
      </c>
      <c r="P16" s="34">
        <v>0.1</v>
      </c>
      <c r="Q16" s="34">
        <v>0.3</v>
      </c>
      <c r="R16" s="34">
        <v>1.3</v>
      </c>
      <c r="T16" s="8">
        <f t="shared" si="2"/>
        <v>6141.6689872741699</v>
      </c>
      <c r="U16" s="8">
        <f t="shared" si="3"/>
        <v>28177.551984786991</v>
      </c>
      <c r="V16" s="8">
        <f t="shared" si="4"/>
        <v>37626.849031448372</v>
      </c>
      <c r="W16" s="8">
        <f t="shared" si="5"/>
        <v>13706.699180603051</v>
      </c>
      <c r="X16" s="8">
        <f t="shared" si="6"/>
        <v>10750.737476348901</v>
      </c>
      <c r="Y16" s="8"/>
      <c r="Z16" s="8">
        <f t="shared" si="7"/>
        <v>147400.05569458008</v>
      </c>
      <c r="AA16" s="8">
        <f t="shared" si="7"/>
        <v>676261.24763488781</v>
      </c>
      <c r="AB16" s="8">
        <f t="shared" si="7"/>
        <v>903044.37675476098</v>
      </c>
      <c r="AC16" s="8">
        <f t="shared" si="7"/>
        <v>328960.78033447324</v>
      </c>
      <c r="AD16" s="8">
        <f t="shared" si="7"/>
        <v>258017.69943237363</v>
      </c>
      <c r="AE16" s="8"/>
      <c r="AG16" s="35" t="s">
        <v>77</v>
      </c>
      <c r="AH16" s="36" t="s">
        <v>78</v>
      </c>
      <c r="AI16" s="36" t="s">
        <v>79</v>
      </c>
      <c r="AJ16" s="36" t="s">
        <v>80</v>
      </c>
      <c r="AK16" s="37" t="s">
        <v>81</v>
      </c>
    </row>
    <row r="17" spans="1:40">
      <c r="A17" s="31">
        <v>42282.458333333299</v>
      </c>
      <c r="B17" s="34">
        <v>2539.4567012786902</v>
      </c>
      <c r="C17" s="34">
        <v>3062.4226570129399</v>
      </c>
      <c r="D17" s="34">
        <v>5175.1579284667996</v>
      </c>
      <c r="E17" s="34">
        <v>14072.16796875</v>
      </c>
      <c r="F17" s="34">
        <v>13675.165843963599</v>
      </c>
      <c r="G17" s="34">
        <v>11693.276023864701</v>
      </c>
      <c r="H17" s="34">
        <v>2547.8073835372902</v>
      </c>
      <c r="I17" s="34">
        <v>56755.669784545898</v>
      </c>
      <c r="J17" s="34"/>
      <c r="K17" s="34">
        <v>0.7</v>
      </c>
      <c r="L17" s="34">
        <v>0.4</v>
      </c>
      <c r="M17" s="34">
        <v>1.4</v>
      </c>
      <c r="N17" s="34">
        <v>0.5</v>
      </c>
      <c r="O17" s="34">
        <v>0.5</v>
      </c>
      <c r="P17" s="34">
        <v>0.05</v>
      </c>
      <c r="Q17" s="34">
        <v>0.3</v>
      </c>
      <c r="R17" s="34">
        <v>1.3</v>
      </c>
      <c r="T17" s="8">
        <f t="shared" si="2"/>
        <v>5601.8793582916296</v>
      </c>
      <c r="U17" s="8">
        <f t="shared" si="3"/>
        <v>24849.20525550843</v>
      </c>
      <c r="V17" s="8">
        <f t="shared" si="4"/>
        <v>38524.371099472031</v>
      </c>
      <c r="W17" s="8">
        <f t="shared" si="5"/>
        <v>14241.083407401991</v>
      </c>
      <c r="X17" s="8">
        <f t="shared" si="6"/>
        <v>11693.276023864701</v>
      </c>
      <c r="Y17" s="8"/>
      <c r="Z17" s="8">
        <f t="shared" si="7"/>
        <v>134445.10459899911</v>
      </c>
      <c r="AA17" s="8">
        <f t="shared" si="7"/>
        <v>596380.92613220238</v>
      </c>
      <c r="AB17" s="8">
        <f t="shared" si="7"/>
        <v>924584.90638732875</v>
      </c>
      <c r="AC17" s="8">
        <f t="shared" si="7"/>
        <v>341786.00177764776</v>
      </c>
      <c r="AD17" s="8">
        <f t="shared" si="7"/>
        <v>280638.6245727528</v>
      </c>
      <c r="AE17" s="8"/>
      <c r="AG17" s="38">
        <f>AVERAGE(Z:Z)</f>
        <v>124677.26079234201</v>
      </c>
      <c r="AH17" s="2">
        <f t="shared" ref="AH17:AK17" si="12">AVERAGE(AA:AA)</f>
        <v>601447.91417898785</v>
      </c>
      <c r="AI17" s="2">
        <f t="shared" si="12"/>
        <v>829708.53226092865</v>
      </c>
      <c r="AJ17" s="2">
        <f t="shared" si="12"/>
        <v>285147.56592969614</v>
      </c>
      <c r="AK17" s="39">
        <f t="shared" si="12"/>
        <v>226196.1202794555</v>
      </c>
    </row>
    <row r="18" spans="1:40" ht="15" thickBot="1">
      <c r="A18" s="31">
        <v>42282.541666666701</v>
      </c>
      <c r="B18" s="34">
        <v>2435.3284120559701</v>
      </c>
      <c r="C18" s="34">
        <v>2712.2776508331299</v>
      </c>
      <c r="D18" s="34">
        <v>5270.3021049499503</v>
      </c>
      <c r="E18" s="34">
        <v>13470.1171875</v>
      </c>
      <c r="F18" s="34">
        <v>10151.454734802201</v>
      </c>
      <c r="G18" s="34">
        <v>10226.426124572799</v>
      </c>
      <c r="H18" s="34">
        <v>2581.3167572021498</v>
      </c>
      <c r="I18" s="34">
        <v>47422.3171234131</v>
      </c>
      <c r="J18" s="34"/>
      <c r="K18" s="34">
        <v>1</v>
      </c>
      <c r="L18" s="34">
        <v>0.4</v>
      </c>
      <c r="M18" s="34">
        <v>1.9</v>
      </c>
      <c r="N18" s="34">
        <v>1.1000000000000001</v>
      </c>
      <c r="O18" s="34">
        <v>1.1000000000000001</v>
      </c>
      <c r="P18" s="34">
        <v>0.1</v>
      </c>
      <c r="Q18" s="34">
        <v>0.05</v>
      </c>
      <c r="R18" s="34">
        <v>1.1000000000000001</v>
      </c>
      <c r="T18" s="8">
        <f t="shared" si="2"/>
        <v>5147.6060628891</v>
      </c>
      <c r="U18" s="8">
        <f t="shared" si="3"/>
        <v>23888.02535533905</v>
      </c>
      <c r="V18" s="8">
        <f t="shared" si="4"/>
        <v>34039.480090141253</v>
      </c>
      <c r="W18" s="8">
        <f t="shared" si="5"/>
        <v>12807.74288177495</v>
      </c>
      <c r="X18" s="8">
        <f t="shared" si="6"/>
        <v>10226.426124572799</v>
      </c>
      <c r="Y18" s="8"/>
      <c r="Z18" s="8">
        <f t="shared" si="7"/>
        <v>123542.54550933841</v>
      </c>
      <c r="AA18" s="8">
        <f t="shared" si="7"/>
        <v>573312.60852813721</v>
      </c>
      <c r="AB18" s="8">
        <f t="shared" si="7"/>
        <v>816947.52216339007</v>
      </c>
      <c r="AC18" s="8">
        <f t="shared" si="7"/>
        <v>307385.82916259882</v>
      </c>
      <c r="AD18" s="8">
        <f t="shared" si="7"/>
        <v>245434.2269897472</v>
      </c>
      <c r="AE18" s="8"/>
      <c r="AG18" s="40">
        <f>_xlfn.STDEV.P(Z:Z)</f>
        <v>35928.403060340344</v>
      </c>
      <c r="AH18" s="41">
        <f t="shared" ref="AH18:AK18" si="13">_xlfn.STDEV.P(AA:AA)</f>
        <v>169047.26798981507</v>
      </c>
      <c r="AI18" s="41">
        <f t="shared" si="13"/>
        <v>222126.64637085883</v>
      </c>
      <c r="AJ18" s="41">
        <f t="shared" si="13"/>
        <v>104047.29198208562</v>
      </c>
      <c r="AK18" s="42">
        <f t="shared" si="13"/>
        <v>83082.397841226819</v>
      </c>
      <c r="AN18">
        <f>20.86*3600*24</f>
        <v>1802304</v>
      </c>
    </row>
    <row r="19" spans="1:40">
      <c r="A19" s="31">
        <v>42282.625</v>
      </c>
      <c r="B19" s="34">
        <v>2127.3267030715901</v>
      </c>
      <c r="C19" s="34">
        <v>2803.9184331893898</v>
      </c>
      <c r="D19" s="34">
        <v>5314.6890163421604</v>
      </c>
      <c r="E19" s="34">
        <v>12559.619235992401</v>
      </c>
      <c r="F19" s="34">
        <v>9995.6248283386194</v>
      </c>
      <c r="G19" s="34">
        <v>10134.4259262085</v>
      </c>
      <c r="H19" s="34">
        <v>2094.05808448792</v>
      </c>
      <c r="I19" s="34">
        <v>45878.113174438498</v>
      </c>
      <c r="J19" s="34"/>
      <c r="K19" s="34">
        <v>1.3</v>
      </c>
      <c r="L19" s="34">
        <v>0.4</v>
      </c>
      <c r="M19" s="34">
        <v>2.1</v>
      </c>
      <c r="N19" s="34">
        <v>0.8</v>
      </c>
      <c r="O19" s="34">
        <v>1.1000000000000001</v>
      </c>
      <c r="P19" s="34">
        <v>0.7</v>
      </c>
      <c r="Q19" s="34">
        <v>0.2</v>
      </c>
      <c r="R19" s="34">
        <v>3</v>
      </c>
      <c r="T19" s="8">
        <f t="shared" si="2"/>
        <v>4931.24513626098</v>
      </c>
      <c r="U19" s="8">
        <f t="shared" si="3"/>
        <v>22805.553388595541</v>
      </c>
      <c r="V19" s="8">
        <f t="shared" si="4"/>
        <v>32801.17821693416</v>
      </c>
      <c r="W19" s="8">
        <f t="shared" si="5"/>
        <v>12228.48401069642</v>
      </c>
      <c r="X19" s="8">
        <f t="shared" si="6"/>
        <v>10134.4259262085</v>
      </c>
      <c r="Y19" s="8"/>
      <c r="Z19" s="8">
        <f t="shared" si="7"/>
        <v>118349.88327026353</v>
      </c>
      <c r="AA19" s="8">
        <f t="shared" si="7"/>
        <v>547333.28132629301</v>
      </c>
      <c r="AB19" s="8">
        <f t="shared" si="7"/>
        <v>787228.27720641985</v>
      </c>
      <c r="AC19" s="8">
        <f t="shared" si="7"/>
        <v>293483.6162567141</v>
      </c>
      <c r="AD19" s="8">
        <f t="shared" si="7"/>
        <v>243226.22222900399</v>
      </c>
      <c r="AE19" s="8"/>
      <c r="AG19" s="8" t="s">
        <v>64</v>
      </c>
      <c r="AH19" s="8" t="s">
        <v>65</v>
      </c>
      <c r="AI19" s="8" t="s">
        <v>66</v>
      </c>
      <c r="AJ19" s="8" t="s">
        <v>67</v>
      </c>
      <c r="AK19" s="8" t="s">
        <v>61</v>
      </c>
    </row>
    <row r="20" spans="1:40">
      <c r="A20" s="31">
        <v>42282.708333333299</v>
      </c>
      <c r="B20" s="34">
        <v>2118.8232421875</v>
      </c>
      <c r="C20" s="34">
        <v>2737.3273372650101</v>
      </c>
      <c r="D20" s="34">
        <v>5218.4453487396204</v>
      </c>
      <c r="E20" s="34">
        <v>13249.204444885299</v>
      </c>
      <c r="F20" s="34">
        <v>9900.7913589477503</v>
      </c>
      <c r="G20" s="34">
        <v>9019.5556640625</v>
      </c>
      <c r="H20" s="34">
        <v>2218.2074546814001</v>
      </c>
      <c r="I20" s="34">
        <v>48800.919342041001</v>
      </c>
      <c r="J20" s="34"/>
      <c r="K20" s="34">
        <v>1</v>
      </c>
      <c r="L20" s="34">
        <v>0.7</v>
      </c>
      <c r="M20" s="34">
        <v>2.5</v>
      </c>
      <c r="N20" s="34">
        <v>1.9</v>
      </c>
      <c r="O20" s="34">
        <v>0.5</v>
      </c>
      <c r="P20" s="34">
        <v>0.05</v>
      </c>
      <c r="Q20" s="34">
        <v>0.4</v>
      </c>
      <c r="R20" s="34">
        <v>4</v>
      </c>
      <c r="T20" s="8">
        <f t="shared" si="2"/>
        <v>4856.1505794525101</v>
      </c>
      <c r="U20" s="8">
        <f t="shared" si="3"/>
        <v>23323.800373077429</v>
      </c>
      <c r="V20" s="8">
        <f t="shared" si="4"/>
        <v>33224.591732025176</v>
      </c>
      <c r="W20" s="8">
        <f t="shared" si="5"/>
        <v>11237.7631187439</v>
      </c>
      <c r="X20" s="8">
        <f t="shared" si="6"/>
        <v>9019.5556640625</v>
      </c>
      <c r="Y20" s="8"/>
      <c r="Z20" s="8">
        <f t="shared" si="7"/>
        <v>116547.61390686024</v>
      </c>
      <c r="AA20" s="8">
        <f t="shared" si="7"/>
        <v>559771.20895385835</v>
      </c>
      <c r="AB20" s="8">
        <f t="shared" si="7"/>
        <v>797390.20156860421</v>
      </c>
      <c r="AC20" s="8">
        <f t="shared" si="7"/>
        <v>269706.31484985363</v>
      </c>
      <c r="AD20" s="8">
        <f t="shared" si="7"/>
        <v>216469.3359375</v>
      </c>
      <c r="AE20" s="8"/>
      <c r="AF20" s="8" t="s">
        <v>75</v>
      </c>
      <c r="AG20">
        <f>_xlfn.STDEV.P(T:T)</f>
        <v>1224.9081581209066</v>
      </c>
      <c r="AH20">
        <f>_xlfn.STDEV.P(U:U)</f>
        <v>5682.7201697269193</v>
      </c>
      <c r="AI20">
        <f>_xlfn.STDEV.P(V:V)</f>
        <v>7286.9530320503736</v>
      </c>
      <c r="AJ20">
        <f>_xlfn.STDEV.P(W:W)</f>
        <v>4153.0327308573969</v>
      </c>
      <c r="AK20">
        <f>_xlfn.STDEV.P(X:X)</f>
        <v>3456.8898537227428</v>
      </c>
    </row>
    <row r="21" spans="1:40">
      <c r="A21" s="31">
        <v>42282.791666666701</v>
      </c>
      <c r="B21" s="34">
        <v>2714.1942501068102</v>
      </c>
      <c r="C21" s="34">
        <v>3243.92237663269</v>
      </c>
      <c r="D21" s="34">
        <v>5190.0997638702402</v>
      </c>
      <c r="E21" s="34">
        <v>15060.585594177201</v>
      </c>
      <c r="F21" s="34">
        <v>10108.784008026099</v>
      </c>
      <c r="G21" s="34">
        <v>10304.187011718701</v>
      </c>
      <c r="H21" s="34">
        <v>2997.7110385894798</v>
      </c>
      <c r="I21" s="34">
        <v>50774.8672485352</v>
      </c>
      <c r="J21" s="34"/>
      <c r="K21" s="34">
        <v>1.1000000000000001</v>
      </c>
      <c r="L21" s="34">
        <v>0.3</v>
      </c>
      <c r="M21" s="34">
        <v>2.2000000000000002</v>
      </c>
      <c r="N21" s="34">
        <v>1.3</v>
      </c>
      <c r="O21" s="34">
        <v>0.9</v>
      </c>
      <c r="P21" s="34">
        <v>0.2</v>
      </c>
      <c r="Q21" s="34">
        <v>0.2</v>
      </c>
      <c r="R21" s="34">
        <v>2.2999999999999998</v>
      </c>
      <c r="T21" s="8">
        <f t="shared" si="2"/>
        <v>5958.1166267395001</v>
      </c>
      <c r="U21" s="8">
        <f t="shared" si="3"/>
        <v>26208.801984786944</v>
      </c>
      <c r="V21" s="8">
        <f t="shared" si="4"/>
        <v>36317.585992813045</v>
      </c>
      <c r="W21" s="8">
        <f t="shared" si="5"/>
        <v>13301.89805030818</v>
      </c>
      <c r="X21" s="8">
        <f t="shared" si="6"/>
        <v>10304.187011718701</v>
      </c>
      <c r="Y21" s="8"/>
      <c r="Z21" s="8">
        <f t="shared" si="7"/>
        <v>142994.79904174799</v>
      </c>
      <c r="AA21" s="8">
        <f t="shared" si="7"/>
        <v>629011.24763488665</v>
      </c>
      <c r="AB21" s="8">
        <f t="shared" si="7"/>
        <v>871622.06382751302</v>
      </c>
      <c r="AC21" s="8">
        <f t="shared" si="7"/>
        <v>319245.5532073963</v>
      </c>
      <c r="AD21" s="8">
        <f t="shared" si="7"/>
        <v>247300.48828124884</v>
      </c>
      <c r="AE21" s="8"/>
      <c r="AF21" s="8" t="s">
        <v>76</v>
      </c>
      <c r="AG21">
        <f>AG20*24</f>
        <v>29397.795794901758</v>
      </c>
      <c r="AH21">
        <f t="shared" ref="AH21:AK21" si="14">AH20*24</f>
        <v>136385.28407344606</v>
      </c>
      <c r="AI21">
        <f t="shared" si="14"/>
        <v>174886.87276920897</v>
      </c>
      <c r="AJ21">
        <f t="shared" si="14"/>
        <v>99672.785540577519</v>
      </c>
      <c r="AK21">
        <f t="shared" si="14"/>
        <v>82965.356489345824</v>
      </c>
      <c r="AN21">
        <f>1.6789*24*3600</f>
        <v>145056.95999999999</v>
      </c>
    </row>
    <row r="22" spans="1:40">
      <c r="A22" s="31">
        <v>42282.875</v>
      </c>
      <c r="B22" s="34">
        <v>3044.1907167434701</v>
      </c>
      <c r="C22" s="34">
        <v>3768.75514984131</v>
      </c>
      <c r="D22" s="34">
        <v>7432.4784278869602</v>
      </c>
      <c r="E22" s="34">
        <v>23395.239830017101</v>
      </c>
      <c r="F22" s="34">
        <v>12660.693454742401</v>
      </c>
      <c r="G22" s="34">
        <v>18485.420608520501</v>
      </c>
      <c r="H22" s="34">
        <v>4219.97780799866</v>
      </c>
      <c r="I22" s="34">
        <v>68406.626129150405</v>
      </c>
      <c r="J22" s="34"/>
      <c r="K22" s="34">
        <v>1</v>
      </c>
      <c r="L22" s="34">
        <v>0.4</v>
      </c>
      <c r="M22" s="34">
        <v>1.5</v>
      </c>
      <c r="N22" s="34">
        <v>0.05</v>
      </c>
      <c r="O22" s="34">
        <v>0.7</v>
      </c>
      <c r="P22" s="34">
        <v>0.5</v>
      </c>
      <c r="Q22" s="34">
        <v>0.2</v>
      </c>
      <c r="R22" s="34">
        <v>1.8</v>
      </c>
      <c r="T22" s="8">
        <f t="shared" si="2"/>
        <v>6812.9458665847797</v>
      </c>
      <c r="U22" s="8">
        <f t="shared" si="3"/>
        <v>37640.664124488845</v>
      </c>
      <c r="V22" s="8">
        <f t="shared" si="4"/>
        <v>50301.357579231248</v>
      </c>
      <c r="W22" s="8">
        <f t="shared" si="5"/>
        <v>22705.398416519161</v>
      </c>
      <c r="X22" s="8">
        <f t="shared" si="6"/>
        <v>18485.420608520501</v>
      </c>
      <c r="Y22" s="8"/>
      <c r="Z22" s="8">
        <f t="shared" si="7"/>
        <v>163510.70079803473</v>
      </c>
      <c r="AA22" s="8">
        <f t="shared" si="7"/>
        <v>903375.93898773228</v>
      </c>
      <c r="AB22" s="8">
        <f t="shared" si="7"/>
        <v>1207232.5819015498</v>
      </c>
      <c r="AC22" s="8">
        <f t="shared" si="7"/>
        <v>544929.56199645984</v>
      </c>
      <c r="AD22" s="8">
        <f t="shared" si="7"/>
        <v>443650.09460449201</v>
      </c>
      <c r="AE22" s="8"/>
      <c r="AN22">
        <v>128519</v>
      </c>
    </row>
    <row r="23" spans="1:40">
      <c r="A23" s="31">
        <v>42282.958333333299</v>
      </c>
      <c r="B23" s="34">
        <v>3917.4169063568102</v>
      </c>
      <c r="C23" s="34">
        <v>3765.45925140381</v>
      </c>
      <c r="D23" s="34">
        <v>7522.4693298339798</v>
      </c>
      <c r="E23" s="34">
        <v>20950.48828125</v>
      </c>
      <c r="F23" s="34">
        <v>11736.387062072799</v>
      </c>
      <c r="G23" s="34">
        <v>13034.9049568176</v>
      </c>
      <c r="H23" s="34">
        <v>3834.2907428741501</v>
      </c>
      <c r="I23" s="34">
        <v>62583.1718444824</v>
      </c>
      <c r="J23" s="34"/>
      <c r="K23" s="34">
        <v>0.8</v>
      </c>
      <c r="L23" s="34">
        <v>0.3</v>
      </c>
      <c r="M23" s="34">
        <v>1.2</v>
      </c>
      <c r="N23" s="34">
        <v>0.9</v>
      </c>
      <c r="O23" s="34">
        <v>0.9</v>
      </c>
      <c r="P23" s="34">
        <v>0.6</v>
      </c>
      <c r="Q23" s="34">
        <v>0.3</v>
      </c>
      <c r="R23" s="34">
        <v>1.2</v>
      </c>
      <c r="T23" s="8">
        <f t="shared" si="2"/>
        <v>7682.8761577606201</v>
      </c>
      <c r="U23" s="8">
        <f t="shared" si="3"/>
        <v>36155.833768844604</v>
      </c>
      <c r="V23" s="8">
        <f t="shared" si="4"/>
        <v>47892.220830917402</v>
      </c>
      <c r="W23" s="8">
        <f t="shared" si="5"/>
        <v>16869.195699691751</v>
      </c>
      <c r="X23" s="8">
        <f t="shared" si="6"/>
        <v>13034.9049568176</v>
      </c>
      <c r="Y23" s="8"/>
      <c r="Z23" s="8">
        <f t="shared" si="7"/>
        <v>184389.02778625488</v>
      </c>
      <c r="AA23" s="8">
        <f t="shared" si="7"/>
        <v>867740.01045227051</v>
      </c>
      <c r="AB23" s="8">
        <f t="shared" si="7"/>
        <v>1149413.2999420175</v>
      </c>
      <c r="AC23" s="8">
        <f t="shared" si="7"/>
        <v>404860.69679260202</v>
      </c>
      <c r="AD23" s="8">
        <f t="shared" si="7"/>
        <v>312837.71896362241</v>
      </c>
      <c r="AE23" s="8"/>
    </row>
    <row r="24" spans="1:40">
      <c r="A24" s="31">
        <v>42283.041666666701</v>
      </c>
      <c r="B24" s="34">
        <v>2517.6050662994398</v>
      </c>
      <c r="C24" s="34">
        <v>2815.0030374527</v>
      </c>
      <c r="D24" s="34">
        <v>7518.4189796447799</v>
      </c>
      <c r="E24" s="34">
        <v>19159.423255920399</v>
      </c>
      <c r="F24" s="34">
        <v>9600.732421875</v>
      </c>
      <c r="G24" s="34">
        <v>9246.0276603698694</v>
      </c>
      <c r="H24" s="34">
        <v>2387.2372627258301</v>
      </c>
      <c r="I24" s="34">
        <v>50916.082763671897</v>
      </c>
      <c r="J24" s="34"/>
      <c r="K24" s="34">
        <v>0.9</v>
      </c>
      <c r="L24" s="34">
        <v>0.6</v>
      </c>
      <c r="M24" s="34">
        <v>1.2</v>
      </c>
      <c r="N24" s="34">
        <v>0.3</v>
      </c>
      <c r="O24" s="34">
        <v>0.1</v>
      </c>
      <c r="P24" s="34">
        <v>0.05</v>
      </c>
      <c r="Q24" s="34">
        <v>0.3</v>
      </c>
      <c r="R24" s="34">
        <v>2.5</v>
      </c>
      <c r="T24" s="8">
        <f t="shared" si="2"/>
        <v>5332.6081037521399</v>
      </c>
      <c r="U24" s="8">
        <f t="shared" si="3"/>
        <v>32010.450339317318</v>
      </c>
      <c r="V24" s="8">
        <f t="shared" si="4"/>
        <v>41611.182761192322</v>
      </c>
      <c r="W24" s="8">
        <f t="shared" si="5"/>
        <v>11633.264923095699</v>
      </c>
      <c r="X24" s="8">
        <f t="shared" si="6"/>
        <v>9246.0276603698694</v>
      </c>
      <c r="Y24" s="8"/>
      <c r="Z24" s="8">
        <f t="shared" si="7"/>
        <v>127982.59449005136</v>
      </c>
      <c r="AA24" s="8">
        <f t="shared" si="7"/>
        <v>768250.80814361561</v>
      </c>
      <c r="AB24" s="8">
        <f t="shared" si="7"/>
        <v>998668.38626861572</v>
      </c>
      <c r="AC24" s="8">
        <f t="shared" si="7"/>
        <v>279198.35815429676</v>
      </c>
      <c r="AD24" s="8">
        <f t="shared" si="7"/>
        <v>221904.66384887687</v>
      </c>
      <c r="AE24" s="8"/>
    </row>
    <row r="25" spans="1:40">
      <c r="A25" s="31">
        <v>42283.125</v>
      </c>
      <c r="B25" s="34">
        <v>1565.1562929153399</v>
      </c>
      <c r="C25" s="34">
        <v>1767.31460094452</v>
      </c>
      <c r="D25" s="34">
        <v>6904.4591903686496</v>
      </c>
      <c r="E25" s="34">
        <v>9777.83203125</v>
      </c>
      <c r="F25" s="34">
        <v>6658.4040641784704</v>
      </c>
      <c r="G25" s="34">
        <v>4197.0408439636203</v>
      </c>
      <c r="H25" s="34">
        <v>1168.37668418884</v>
      </c>
      <c r="I25" s="34">
        <v>33754.421997070298</v>
      </c>
      <c r="J25" s="34"/>
      <c r="K25" s="34">
        <v>0.9</v>
      </c>
      <c r="L25" s="34">
        <v>0.4</v>
      </c>
      <c r="M25" s="34">
        <v>1.9</v>
      </c>
      <c r="N25" s="34">
        <v>1.3</v>
      </c>
      <c r="O25" s="34">
        <v>1.2</v>
      </c>
      <c r="P25" s="34">
        <v>0.05</v>
      </c>
      <c r="Q25" s="34">
        <v>0.8</v>
      </c>
      <c r="R25" s="34">
        <v>3.4</v>
      </c>
      <c r="T25" s="8">
        <f t="shared" si="2"/>
        <v>3332.4708938598596</v>
      </c>
      <c r="U25" s="8">
        <f t="shared" si="3"/>
        <v>20014.762115478508</v>
      </c>
      <c r="V25" s="8">
        <f t="shared" si="4"/>
        <v>26673.166179656979</v>
      </c>
      <c r="W25" s="8">
        <f t="shared" si="5"/>
        <v>5365.4175281524604</v>
      </c>
      <c r="X25" s="8">
        <f t="shared" si="6"/>
        <v>4197.0408439636203</v>
      </c>
      <c r="Y25" s="8"/>
      <c r="Z25" s="8">
        <f t="shared" si="7"/>
        <v>79979.301452636631</v>
      </c>
      <c r="AA25" s="8">
        <f t="shared" si="7"/>
        <v>480354.2907714842</v>
      </c>
      <c r="AB25" s="8">
        <f t="shared" si="7"/>
        <v>640155.98831176746</v>
      </c>
      <c r="AC25" s="8">
        <f t="shared" si="7"/>
        <v>128770.02067565905</v>
      </c>
      <c r="AD25" s="8">
        <f t="shared" si="7"/>
        <v>100728.98025512689</v>
      </c>
      <c r="AE25" s="8"/>
    </row>
    <row r="26" spans="1:40">
      <c r="A26" s="31">
        <v>42283.208333333299</v>
      </c>
      <c r="B26" s="34">
        <v>1488.9055967330901</v>
      </c>
      <c r="C26" s="34">
        <v>1506.93089962006</v>
      </c>
      <c r="D26" s="34">
        <v>4249.1533756256104</v>
      </c>
      <c r="E26" s="34">
        <v>12588.876342773399</v>
      </c>
      <c r="F26" s="34">
        <v>6930.5851936340296</v>
      </c>
      <c r="G26" s="34">
        <v>6534.6349239349402</v>
      </c>
      <c r="H26" s="34">
        <v>943.69951486587502</v>
      </c>
      <c r="I26" s="34">
        <v>29762.872695922899</v>
      </c>
      <c r="J26" s="34"/>
      <c r="K26" s="34">
        <v>0.8</v>
      </c>
      <c r="L26" s="34">
        <v>0.4</v>
      </c>
      <c r="M26" s="34">
        <v>2.6</v>
      </c>
      <c r="N26" s="34">
        <v>0.5</v>
      </c>
      <c r="O26" s="34">
        <v>0.3</v>
      </c>
      <c r="P26" s="34">
        <v>0.05</v>
      </c>
      <c r="Q26" s="34">
        <v>0.5</v>
      </c>
      <c r="R26" s="34">
        <v>3.4</v>
      </c>
      <c r="T26" s="8">
        <f t="shared" si="2"/>
        <v>2995.8364963531503</v>
      </c>
      <c r="U26" s="8">
        <f t="shared" si="3"/>
        <v>19833.866214752161</v>
      </c>
      <c r="V26" s="8">
        <f t="shared" si="4"/>
        <v>26764.45140838619</v>
      </c>
      <c r="W26" s="8">
        <f t="shared" si="5"/>
        <v>7478.3344388008154</v>
      </c>
      <c r="X26" s="8">
        <f t="shared" si="6"/>
        <v>6534.6349239349402</v>
      </c>
      <c r="Y26" s="8"/>
      <c r="Z26" s="8">
        <f t="shared" si="7"/>
        <v>71900.075912475615</v>
      </c>
      <c r="AA26" s="8">
        <f t="shared" si="7"/>
        <v>476012.78915405186</v>
      </c>
      <c r="AB26" s="8">
        <f t="shared" si="7"/>
        <v>642346.8338012686</v>
      </c>
      <c r="AC26" s="8">
        <f t="shared" si="7"/>
        <v>179480.02653121957</v>
      </c>
      <c r="AD26" s="8">
        <f t="shared" si="7"/>
        <v>156831.23817443856</v>
      </c>
      <c r="AE26" s="8"/>
    </row>
    <row r="27" spans="1:40">
      <c r="A27" s="31">
        <v>42283.291666666701</v>
      </c>
      <c r="B27" s="34">
        <v>2176.2926816940299</v>
      </c>
      <c r="C27" s="34">
        <v>2608.7832212448102</v>
      </c>
      <c r="D27" s="34">
        <v>2064.0645503997798</v>
      </c>
      <c r="E27" s="34">
        <v>13010.185718536401</v>
      </c>
      <c r="F27" s="34">
        <v>8671.5963363647497</v>
      </c>
      <c r="G27" s="34">
        <v>11520.746898651099</v>
      </c>
      <c r="H27" s="34">
        <v>2588.2932901382401</v>
      </c>
      <c r="I27" s="34">
        <v>38843.498611450203</v>
      </c>
      <c r="J27" s="34"/>
      <c r="K27" s="34">
        <v>0.8</v>
      </c>
      <c r="L27" s="34">
        <v>0.5</v>
      </c>
      <c r="M27" s="34">
        <v>1.5</v>
      </c>
      <c r="N27" s="34">
        <v>0.2</v>
      </c>
      <c r="O27" s="34">
        <v>0.1</v>
      </c>
      <c r="P27" s="34">
        <v>0.05</v>
      </c>
      <c r="Q27" s="34">
        <v>0.5</v>
      </c>
      <c r="R27" s="34">
        <v>2.9</v>
      </c>
      <c r="T27" s="8">
        <f t="shared" si="2"/>
        <v>4785.07590293884</v>
      </c>
      <c r="U27" s="8">
        <f t="shared" si="3"/>
        <v>19859.326171875022</v>
      </c>
      <c r="V27" s="8">
        <f t="shared" si="4"/>
        <v>28530.922508239772</v>
      </c>
      <c r="W27" s="8">
        <f t="shared" si="5"/>
        <v>14109.040188789339</v>
      </c>
      <c r="X27" s="8">
        <f t="shared" si="6"/>
        <v>11520.746898651099</v>
      </c>
      <c r="Y27" s="8"/>
      <c r="Z27" s="8">
        <f t="shared" si="7"/>
        <v>114841.82167053217</v>
      </c>
      <c r="AA27" s="8">
        <f t="shared" si="7"/>
        <v>476623.82812500052</v>
      </c>
      <c r="AB27" s="8">
        <f t="shared" si="7"/>
        <v>684742.14019775449</v>
      </c>
      <c r="AC27" s="8">
        <f t="shared" si="7"/>
        <v>338616.96453094413</v>
      </c>
      <c r="AD27" s="8">
        <f t="shared" si="7"/>
        <v>276497.92556762637</v>
      </c>
      <c r="AE27" s="8"/>
    </row>
    <row r="28" spans="1:40">
      <c r="A28" s="31">
        <v>42283.375</v>
      </c>
      <c r="B28" s="34">
        <v>2828.3203125</v>
      </c>
      <c r="C28" s="34">
        <v>3761.28444671631</v>
      </c>
      <c r="D28" s="34">
        <v>5392.3546314239502</v>
      </c>
      <c r="E28" s="34">
        <v>15058.740234375</v>
      </c>
      <c r="F28" s="34">
        <v>11640.586280822799</v>
      </c>
      <c r="G28" s="34">
        <v>12643.2200431824</v>
      </c>
      <c r="H28" s="34">
        <v>2454.6405315399202</v>
      </c>
      <c r="I28" s="34">
        <v>48666.5256500244</v>
      </c>
      <c r="J28" s="34"/>
      <c r="K28" s="34">
        <v>0.8</v>
      </c>
      <c r="L28" s="34">
        <v>0.1</v>
      </c>
      <c r="M28" s="34">
        <v>1.5</v>
      </c>
      <c r="N28" s="34">
        <v>0.5</v>
      </c>
      <c r="O28" s="34">
        <v>0.3</v>
      </c>
      <c r="P28" s="34">
        <v>0.05</v>
      </c>
      <c r="Q28" s="34">
        <v>0.1</v>
      </c>
      <c r="R28" s="34">
        <v>1.9</v>
      </c>
      <c r="T28" s="8">
        <f t="shared" si="2"/>
        <v>6589.6047592163104</v>
      </c>
      <c r="U28" s="8">
        <f t="shared" si="3"/>
        <v>27040.699625015259</v>
      </c>
      <c r="V28" s="8">
        <f t="shared" si="4"/>
        <v>38681.285905838056</v>
      </c>
      <c r="W28" s="8">
        <f t="shared" si="5"/>
        <v>15097.860574722321</v>
      </c>
      <c r="X28" s="8">
        <f t="shared" si="6"/>
        <v>12643.2200431824</v>
      </c>
      <c r="Y28" s="8"/>
      <c r="Z28" s="8">
        <f t="shared" si="7"/>
        <v>158150.51422119146</v>
      </c>
      <c r="AA28" s="8">
        <f t="shared" si="7"/>
        <v>648976.79100036621</v>
      </c>
      <c r="AB28" s="8">
        <f t="shared" si="7"/>
        <v>928350.86174011335</v>
      </c>
      <c r="AC28" s="8">
        <f t="shared" si="7"/>
        <v>362348.65379333572</v>
      </c>
      <c r="AD28" s="8">
        <f t="shared" si="7"/>
        <v>303437.28103637759</v>
      </c>
      <c r="AE28" s="8"/>
    </row>
    <row r="29" spans="1:40">
      <c r="A29" s="31">
        <v>42283.458333333299</v>
      </c>
      <c r="B29" s="34">
        <v>2668.9966678619398</v>
      </c>
      <c r="C29" s="34">
        <v>2913.8832092285202</v>
      </c>
      <c r="D29" s="34">
        <v>5670.2173233032199</v>
      </c>
      <c r="E29" s="34">
        <v>14218.6938285828</v>
      </c>
      <c r="F29" s="34">
        <v>11082.458496093701</v>
      </c>
      <c r="G29" s="34">
        <v>12082.1705818176</v>
      </c>
      <c r="H29" s="34">
        <v>2756.00473880768</v>
      </c>
      <c r="I29" s="34">
        <v>47972.728729248003</v>
      </c>
      <c r="J29" s="34"/>
      <c r="K29" s="34">
        <v>0.5</v>
      </c>
      <c r="L29" s="34">
        <v>0.2</v>
      </c>
      <c r="M29" s="34">
        <v>1.1000000000000001</v>
      </c>
      <c r="N29" s="34">
        <v>0.6</v>
      </c>
      <c r="O29" s="34">
        <v>0.3</v>
      </c>
      <c r="P29" s="34">
        <v>0.05</v>
      </c>
      <c r="Q29" s="34">
        <v>0.05</v>
      </c>
      <c r="R29" s="34">
        <v>1</v>
      </c>
      <c r="T29" s="8">
        <f t="shared" si="2"/>
        <v>5582.8798770904596</v>
      </c>
      <c r="U29" s="8">
        <f t="shared" si="3"/>
        <v>25471.79102897648</v>
      </c>
      <c r="V29" s="8">
        <f t="shared" si="4"/>
        <v>36554.249525070183</v>
      </c>
      <c r="W29" s="8">
        <f t="shared" si="5"/>
        <v>14838.17532062528</v>
      </c>
      <c r="X29" s="8">
        <f t="shared" si="6"/>
        <v>12082.1705818176</v>
      </c>
      <c r="Y29" s="8"/>
      <c r="Z29" s="8">
        <f t="shared" si="7"/>
        <v>133989.11705017101</v>
      </c>
      <c r="AA29" s="8">
        <f t="shared" si="7"/>
        <v>611322.9846954355</v>
      </c>
      <c r="AB29" s="8">
        <f t="shared" si="7"/>
        <v>877301.98860168434</v>
      </c>
      <c r="AC29" s="8">
        <f t="shared" si="7"/>
        <v>356116.20769500674</v>
      </c>
      <c r="AD29" s="8">
        <f t="shared" si="7"/>
        <v>289972.09396362241</v>
      </c>
      <c r="AE29" s="8"/>
    </row>
    <row r="30" spans="1:40">
      <c r="A30" s="31">
        <v>42283.541666666701</v>
      </c>
      <c r="B30" s="34">
        <v>2208.7572813034099</v>
      </c>
      <c r="C30" s="34">
        <v>2706.2349557876601</v>
      </c>
      <c r="D30" s="34">
        <v>5441.69483184814</v>
      </c>
      <c r="E30" s="34">
        <v>13374.9094963074</v>
      </c>
      <c r="F30" s="34">
        <v>10610.200023651099</v>
      </c>
      <c r="G30" s="34">
        <v>9742.7195549011194</v>
      </c>
      <c r="H30" s="34">
        <v>2390.1486396789601</v>
      </c>
      <c r="I30" s="34">
        <v>47076.021194458001</v>
      </c>
      <c r="J30" s="34"/>
      <c r="K30" s="34">
        <v>0.9</v>
      </c>
      <c r="L30" s="34">
        <v>0.3</v>
      </c>
      <c r="M30" s="34">
        <v>1.5</v>
      </c>
      <c r="N30" s="34">
        <v>0.6</v>
      </c>
      <c r="O30" s="34">
        <v>0.6</v>
      </c>
      <c r="P30" s="34">
        <v>0.05</v>
      </c>
      <c r="Q30" s="34">
        <v>0.1</v>
      </c>
      <c r="R30" s="34">
        <v>1.4</v>
      </c>
      <c r="T30" s="8">
        <f t="shared" si="2"/>
        <v>4914.9922370910699</v>
      </c>
      <c r="U30" s="8">
        <f t="shared" si="3"/>
        <v>23731.596565246611</v>
      </c>
      <c r="V30" s="8">
        <f t="shared" si="4"/>
        <v>34341.796588897712</v>
      </c>
      <c r="W30" s="8">
        <f t="shared" si="5"/>
        <v>12132.86819458008</v>
      </c>
      <c r="X30" s="8">
        <f t="shared" si="6"/>
        <v>9742.7195549011194</v>
      </c>
      <c r="Y30" s="8"/>
      <c r="Z30" s="8">
        <f t="shared" si="7"/>
        <v>117959.81369018568</v>
      </c>
      <c r="AA30" s="8">
        <f t="shared" si="7"/>
        <v>569558.31756591867</v>
      </c>
      <c r="AB30" s="8">
        <f t="shared" si="7"/>
        <v>824203.11813354515</v>
      </c>
      <c r="AC30" s="8">
        <f t="shared" si="7"/>
        <v>291188.83666992193</v>
      </c>
      <c r="AD30" s="8">
        <f t="shared" si="7"/>
        <v>233825.26931762687</v>
      </c>
      <c r="AE30" s="8"/>
    </row>
    <row r="31" spans="1:40">
      <c r="A31" s="31">
        <v>42283.625</v>
      </c>
      <c r="B31" s="34">
        <v>2243.7487363815299</v>
      </c>
      <c r="C31" s="34">
        <v>2732.2734117507898</v>
      </c>
      <c r="D31" s="34">
        <v>5576.83010101318</v>
      </c>
      <c r="E31" s="34">
        <v>14309.5275878906</v>
      </c>
      <c r="F31" s="34">
        <v>14674.833297729499</v>
      </c>
      <c r="G31" s="34">
        <v>6798.9689826965296</v>
      </c>
      <c r="H31" s="34">
        <v>2232.4901103973398</v>
      </c>
      <c r="I31" s="34">
        <v>51420.774078369097</v>
      </c>
      <c r="J31" s="34"/>
      <c r="K31" s="34">
        <v>0.8</v>
      </c>
      <c r="L31" s="34">
        <v>0.5</v>
      </c>
      <c r="M31" s="34">
        <v>1.9</v>
      </c>
      <c r="N31" s="34">
        <v>0.2</v>
      </c>
      <c r="O31" s="34">
        <v>0.5</v>
      </c>
      <c r="P31" s="34">
        <v>0.3</v>
      </c>
      <c r="Q31" s="34">
        <v>0.05</v>
      </c>
      <c r="R31" s="34">
        <v>2.4</v>
      </c>
      <c r="T31" s="8">
        <f t="shared" si="2"/>
        <v>4976.0221481323197</v>
      </c>
      <c r="U31" s="8">
        <f t="shared" si="3"/>
        <v>24862.3798370361</v>
      </c>
      <c r="V31" s="8">
        <f t="shared" si="4"/>
        <v>39537.213134765596</v>
      </c>
      <c r="W31" s="8">
        <f t="shared" si="5"/>
        <v>9031.4590930938684</v>
      </c>
      <c r="X31" s="8">
        <f t="shared" si="6"/>
        <v>6798.9689826965296</v>
      </c>
      <c r="Y31" s="8"/>
      <c r="Z31" s="8">
        <f t="shared" si="7"/>
        <v>119424.53155517566</v>
      </c>
      <c r="AA31" s="8">
        <f t="shared" si="7"/>
        <v>596697.11608886637</v>
      </c>
      <c r="AB31" s="8">
        <f t="shared" si="7"/>
        <v>948893.1152343743</v>
      </c>
      <c r="AC31" s="8">
        <f t="shared" si="7"/>
        <v>216755.01823425284</v>
      </c>
      <c r="AD31" s="8">
        <f t="shared" si="7"/>
        <v>163175.25558471671</v>
      </c>
      <c r="AE31" s="8"/>
    </row>
    <row r="32" spans="1:40">
      <c r="A32" s="31">
        <v>42283.708333333299</v>
      </c>
      <c r="B32" s="34">
        <v>2271.39329910278</v>
      </c>
      <c r="C32" s="34">
        <v>2689.2606496810899</v>
      </c>
      <c r="D32" s="34">
        <v>5558.1529140472403</v>
      </c>
      <c r="E32" s="34">
        <v>21220.5322265625</v>
      </c>
      <c r="F32" s="34">
        <v>9281.9314956665003</v>
      </c>
      <c r="G32" s="34">
        <v>5697.1192359924298</v>
      </c>
      <c r="H32" s="34">
        <v>2120.9754467010498</v>
      </c>
      <c r="I32" s="34">
        <v>50923.186111450203</v>
      </c>
      <c r="J32" s="34"/>
      <c r="K32" s="34">
        <v>1.3</v>
      </c>
      <c r="L32" s="34">
        <v>0.2</v>
      </c>
      <c r="M32" s="34">
        <v>1.2</v>
      </c>
      <c r="N32" s="34">
        <v>0.4</v>
      </c>
      <c r="O32" s="34">
        <v>0.1</v>
      </c>
      <c r="P32" s="34">
        <v>0.05</v>
      </c>
      <c r="Q32" s="34">
        <v>0.3</v>
      </c>
      <c r="R32" s="34">
        <v>2</v>
      </c>
      <c r="T32" s="8">
        <f t="shared" si="2"/>
        <v>4960.65394878387</v>
      </c>
      <c r="U32" s="8">
        <f t="shared" si="3"/>
        <v>31739.339089393608</v>
      </c>
      <c r="V32" s="8">
        <f t="shared" si="4"/>
        <v>41021.270585060105</v>
      </c>
      <c r="W32" s="8">
        <f t="shared" si="5"/>
        <v>7818.0946826934796</v>
      </c>
      <c r="X32" s="8">
        <f t="shared" si="6"/>
        <v>5697.1192359924298</v>
      </c>
      <c r="Y32" s="8"/>
      <c r="Z32" s="8">
        <f t="shared" si="7"/>
        <v>119055.69477081287</v>
      </c>
      <c r="AA32" s="8">
        <f t="shared" si="7"/>
        <v>761744.13814544654</v>
      </c>
      <c r="AB32" s="8">
        <f t="shared" si="7"/>
        <v>984510.49404144252</v>
      </c>
      <c r="AC32" s="8">
        <f t="shared" si="7"/>
        <v>187634.2723846435</v>
      </c>
      <c r="AD32" s="8">
        <f t="shared" si="7"/>
        <v>136730.8616638183</v>
      </c>
      <c r="AE32" s="8"/>
    </row>
    <row r="33" spans="1:31">
      <c r="A33" s="31">
        <v>42283.791666666701</v>
      </c>
      <c r="B33" s="34">
        <v>2727.0482540130602</v>
      </c>
      <c r="C33" s="34">
        <v>3344.2307710647601</v>
      </c>
      <c r="D33" s="34">
        <v>5448.28662872314</v>
      </c>
      <c r="E33" s="34">
        <v>14965.5126571655</v>
      </c>
      <c r="F33" s="34">
        <v>10653.0029296875</v>
      </c>
      <c r="G33" s="34">
        <v>12585.7177734375</v>
      </c>
      <c r="H33" s="34">
        <v>3866.2068843841598</v>
      </c>
      <c r="I33" s="34">
        <v>57442.898941040003</v>
      </c>
      <c r="J33" s="34"/>
      <c r="K33" s="34">
        <v>0.4</v>
      </c>
      <c r="L33" s="34">
        <v>0.2</v>
      </c>
      <c r="M33" s="34">
        <v>1.4</v>
      </c>
      <c r="N33" s="34">
        <v>0.05</v>
      </c>
      <c r="O33" s="34">
        <v>0.3</v>
      </c>
      <c r="P33" s="34">
        <v>0.05</v>
      </c>
      <c r="Q33" s="34">
        <v>0.05</v>
      </c>
      <c r="R33" s="34">
        <v>1.6</v>
      </c>
      <c r="T33" s="8">
        <f t="shared" si="2"/>
        <v>6071.2790250778198</v>
      </c>
      <c r="U33" s="8">
        <f t="shared" si="3"/>
        <v>26485.078310966463</v>
      </c>
      <c r="V33" s="8">
        <f t="shared" si="4"/>
        <v>37138.081240653963</v>
      </c>
      <c r="W33" s="8">
        <f t="shared" si="5"/>
        <v>16451.924657821659</v>
      </c>
      <c r="X33" s="8">
        <f t="shared" si="6"/>
        <v>12585.7177734375</v>
      </c>
      <c r="Y33" s="8"/>
      <c r="Z33" s="8">
        <f t="shared" si="7"/>
        <v>145710.69660186768</v>
      </c>
      <c r="AA33" s="8">
        <f t="shared" si="7"/>
        <v>635641.8794631951</v>
      </c>
      <c r="AB33" s="8">
        <f t="shared" si="7"/>
        <v>891313.9497756951</v>
      </c>
      <c r="AC33" s="8">
        <f t="shared" si="7"/>
        <v>394846.19178771984</v>
      </c>
      <c r="AD33" s="8">
        <f t="shared" si="7"/>
        <v>302057.2265625</v>
      </c>
      <c r="AE33" s="8"/>
    </row>
    <row r="34" spans="1:31">
      <c r="A34" s="31">
        <v>42283.875</v>
      </c>
      <c r="B34" s="34">
        <v>2761.68823242188</v>
      </c>
      <c r="C34" s="34">
        <v>3776.6661643981902</v>
      </c>
      <c r="D34" s="34">
        <v>7571.1293220520001</v>
      </c>
      <c r="E34" s="34">
        <v>17068.798828125</v>
      </c>
      <c r="F34" s="34">
        <v>9335.3902816772497</v>
      </c>
      <c r="G34" s="34">
        <v>12030.748558044401</v>
      </c>
      <c r="H34" s="34">
        <v>3764.6906375885001</v>
      </c>
      <c r="I34" s="34">
        <v>57037.263107299797</v>
      </c>
      <c r="J34" s="34"/>
      <c r="K34" s="34">
        <v>0.8</v>
      </c>
      <c r="L34" s="34">
        <v>0.4</v>
      </c>
      <c r="M34" s="34">
        <v>1.6</v>
      </c>
      <c r="N34" s="34">
        <v>0.4</v>
      </c>
      <c r="O34" s="34">
        <v>0.1</v>
      </c>
      <c r="P34" s="34">
        <v>0.05</v>
      </c>
      <c r="Q34" s="34">
        <v>0.2</v>
      </c>
      <c r="R34" s="34">
        <v>1.9</v>
      </c>
      <c r="T34" s="8">
        <f t="shared" si="2"/>
        <v>6538.3543968200702</v>
      </c>
      <c r="U34" s="8">
        <f t="shared" si="3"/>
        <v>31178.28254699707</v>
      </c>
      <c r="V34" s="8">
        <f t="shared" si="4"/>
        <v>40513.672828674316</v>
      </c>
      <c r="W34" s="8">
        <f t="shared" si="5"/>
        <v>15795.439195632902</v>
      </c>
      <c r="X34" s="8">
        <f t="shared" si="6"/>
        <v>12030.748558044401</v>
      </c>
      <c r="Y34" s="8"/>
      <c r="Z34" s="8">
        <f t="shared" si="7"/>
        <v>156920.5055236817</v>
      </c>
      <c r="AA34" s="8">
        <f t="shared" si="7"/>
        <v>748278.78112792969</v>
      </c>
      <c r="AB34" s="8">
        <f t="shared" si="7"/>
        <v>972328.14788818359</v>
      </c>
      <c r="AC34" s="8">
        <f t="shared" si="7"/>
        <v>379090.54069518961</v>
      </c>
      <c r="AD34" s="8">
        <f t="shared" si="7"/>
        <v>288737.96539306559</v>
      </c>
      <c r="AE34" s="8"/>
    </row>
    <row r="35" spans="1:31">
      <c r="A35" s="31">
        <v>42283.958333333299</v>
      </c>
      <c r="B35" s="34">
        <v>3604.39453125</v>
      </c>
      <c r="C35" s="34">
        <v>3801.7154216766398</v>
      </c>
      <c r="D35" s="34">
        <v>7615.2239799499503</v>
      </c>
      <c r="E35" s="34">
        <v>18615.673828125</v>
      </c>
      <c r="F35" s="34">
        <v>14112.8834724426</v>
      </c>
      <c r="G35" s="34">
        <v>13946.435451507599</v>
      </c>
      <c r="H35" s="34">
        <v>3985.4124069213899</v>
      </c>
      <c r="I35" s="34">
        <v>65980.405426025405</v>
      </c>
      <c r="J35" s="34"/>
      <c r="K35" s="34">
        <v>0.6</v>
      </c>
      <c r="L35" s="34">
        <v>0.5</v>
      </c>
      <c r="M35" s="34">
        <v>1.2</v>
      </c>
      <c r="N35" s="34">
        <v>0.3</v>
      </c>
      <c r="O35" s="34">
        <v>0.5</v>
      </c>
      <c r="P35" s="34">
        <v>0.05</v>
      </c>
      <c r="Q35" s="34">
        <v>0.2</v>
      </c>
      <c r="R35" s="34">
        <v>1.9</v>
      </c>
      <c r="T35" s="8">
        <f t="shared" si="2"/>
        <v>7406.1099529266394</v>
      </c>
      <c r="U35" s="8">
        <f t="shared" si="3"/>
        <v>33637.007761001587</v>
      </c>
      <c r="V35" s="8">
        <f t="shared" si="4"/>
        <v>47749.891233444185</v>
      </c>
      <c r="W35" s="8">
        <f t="shared" si="5"/>
        <v>17931.847858428988</v>
      </c>
      <c r="X35" s="8">
        <f t="shared" si="6"/>
        <v>13946.435451507599</v>
      </c>
      <c r="Y35" s="8"/>
      <c r="Z35" s="8">
        <f t="shared" si="7"/>
        <v>177746.63887023935</v>
      </c>
      <c r="AA35" s="8">
        <f t="shared" si="7"/>
        <v>807288.18626403809</v>
      </c>
      <c r="AB35" s="8">
        <f t="shared" si="7"/>
        <v>1145997.3896026604</v>
      </c>
      <c r="AC35" s="8">
        <f t="shared" si="7"/>
        <v>430364.34860229574</v>
      </c>
      <c r="AD35" s="8">
        <f t="shared" si="7"/>
        <v>334714.4508361824</v>
      </c>
      <c r="AE35" s="8"/>
    </row>
    <row r="36" spans="1:31">
      <c r="A36" s="31">
        <v>42284.041666666701</v>
      </c>
      <c r="B36" s="34">
        <v>2371.89331054688</v>
      </c>
      <c r="C36" s="34">
        <v>2783.5812807083098</v>
      </c>
      <c r="D36" s="34">
        <v>7645.0089454650897</v>
      </c>
      <c r="E36" s="34">
        <v>14944.482421875</v>
      </c>
      <c r="F36" s="34">
        <v>9314.53857421875</v>
      </c>
      <c r="G36" s="34">
        <v>9584.8683357238806</v>
      </c>
      <c r="H36" s="34">
        <v>2481.7226886749299</v>
      </c>
      <c r="I36" s="34">
        <v>46997.286987304702</v>
      </c>
      <c r="J36" s="34"/>
      <c r="K36" s="34">
        <v>0.9</v>
      </c>
      <c r="L36" s="34">
        <v>0.5</v>
      </c>
      <c r="M36" s="34">
        <v>1.5</v>
      </c>
      <c r="N36" s="34">
        <v>0.3</v>
      </c>
      <c r="O36" s="34">
        <v>0.6</v>
      </c>
      <c r="P36" s="34">
        <v>0.05</v>
      </c>
      <c r="Q36" s="34">
        <v>0.2</v>
      </c>
      <c r="R36" s="34">
        <v>2.2000000000000002</v>
      </c>
      <c r="T36" s="8">
        <f t="shared" si="2"/>
        <v>5155.4745912551898</v>
      </c>
      <c r="U36" s="8">
        <f t="shared" si="3"/>
        <v>27744.96595859528</v>
      </c>
      <c r="V36" s="8">
        <f t="shared" si="4"/>
        <v>37059.504532814026</v>
      </c>
      <c r="W36" s="8">
        <f t="shared" si="5"/>
        <v>12066.591024398811</v>
      </c>
      <c r="X36" s="8">
        <f t="shared" si="6"/>
        <v>9584.8683357238806</v>
      </c>
      <c r="Y36" s="8"/>
      <c r="Z36" s="8">
        <f t="shared" si="7"/>
        <v>123731.39019012456</v>
      </c>
      <c r="AA36" s="8">
        <f t="shared" si="7"/>
        <v>665879.18300628674</v>
      </c>
      <c r="AB36" s="8">
        <f t="shared" si="7"/>
        <v>889428.10878753662</v>
      </c>
      <c r="AC36" s="8">
        <f t="shared" si="7"/>
        <v>289598.18458557146</v>
      </c>
      <c r="AD36" s="8">
        <f t="shared" si="7"/>
        <v>230036.84005737313</v>
      </c>
      <c r="AE36" s="8"/>
    </row>
    <row r="37" spans="1:31">
      <c r="A37" s="31">
        <v>42284.125</v>
      </c>
      <c r="B37" s="34">
        <v>1564.8513793945301</v>
      </c>
      <c r="C37" s="34">
        <v>1740.6870245933501</v>
      </c>
      <c r="D37" s="34">
        <v>7095.0775623321497</v>
      </c>
      <c r="E37" s="34">
        <v>11724.213695526099</v>
      </c>
      <c r="F37" s="34">
        <v>6677.1718025207501</v>
      </c>
      <c r="G37" s="34">
        <v>6319.44580078125</v>
      </c>
      <c r="H37" s="34">
        <v>1241.49305820465</v>
      </c>
      <c r="I37" s="34">
        <v>35214.196014404297</v>
      </c>
      <c r="J37" s="34"/>
      <c r="K37" s="34">
        <v>0.5</v>
      </c>
      <c r="L37" s="34">
        <v>0.3</v>
      </c>
      <c r="M37" s="34">
        <v>0.6</v>
      </c>
      <c r="N37" s="34">
        <v>0.1</v>
      </c>
      <c r="O37" s="34">
        <v>0.5</v>
      </c>
      <c r="P37" s="34">
        <v>0.05</v>
      </c>
      <c r="Q37" s="34">
        <v>0.2</v>
      </c>
      <c r="R37" s="34">
        <v>1.9</v>
      </c>
      <c r="T37" s="8">
        <f t="shared" si="2"/>
        <v>3305.53840398788</v>
      </c>
      <c r="U37" s="8">
        <f t="shared" si="3"/>
        <v>22124.829661846132</v>
      </c>
      <c r="V37" s="8">
        <f t="shared" si="4"/>
        <v>28802.001464366884</v>
      </c>
      <c r="W37" s="8">
        <f t="shared" si="5"/>
        <v>7560.9388589859</v>
      </c>
      <c r="X37" s="8">
        <f t="shared" si="6"/>
        <v>6319.44580078125</v>
      </c>
      <c r="Y37" s="8"/>
      <c r="Z37" s="8">
        <f t="shared" si="7"/>
        <v>79332.921695709112</v>
      </c>
      <c r="AA37" s="8">
        <f t="shared" si="7"/>
        <v>530995.91188430716</v>
      </c>
      <c r="AB37" s="8">
        <f t="shared" si="7"/>
        <v>691248.03514480521</v>
      </c>
      <c r="AC37" s="8">
        <f t="shared" si="7"/>
        <v>181462.53261566159</v>
      </c>
      <c r="AD37" s="8">
        <f t="shared" si="7"/>
        <v>151666.69921875</v>
      </c>
      <c r="AE37" s="8"/>
    </row>
    <row r="38" spans="1:31">
      <c r="A38" s="31">
        <v>42284.208333333299</v>
      </c>
      <c r="B38" s="34">
        <v>1526.7837524414099</v>
      </c>
      <c r="C38" s="34">
        <v>1594.11503076553</v>
      </c>
      <c r="D38" s="34">
        <v>4123.6247062683096</v>
      </c>
      <c r="E38" s="34">
        <v>5547.4914550781295</v>
      </c>
      <c r="F38" s="34">
        <v>5925.7176876068097</v>
      </c>
      <c r="G38" s="34">
        <v>3048.5082149505602</v>
      </c>
      <c r="H38" s="34">
        <v>974.51713085174595</v>
      </c>
      <c r="I38" s="34">
        <v>24901.274871826201</v>
      </c>
      <c r="J38" s="34"/>
      <c r="K38" s="34">
        <v>0.6</v>
      </c>
      <c r="L38" s="34">
        <v>0.3</v>
      </c>
      <c r="M38" s="34">
        <v>2.2999999999999998</v>
      </c>
      <c r="N38" s="34">
        <v>0.2</v>
      </c>
      <c r="O38" s="34">
        <v>0.2</v>
      </c>
      <c r="P38" s="34">
        <v>0.05</v>
      </c>
      <c r="Q38" s="34">
        <v>0.4</v>
      </c>
      <c r="R38" s="34">
        <v>1.6</v>
      </c>
      <c r="T38" s="8">
        <f t="shared" si="2"/>
        <v>3120.8987832069397</v>
      </c>
      <c r="U38" s="8">
        <f t="shared" si="3"/>
        <v>12792.014944553379</v>
      </c>
      <c r="V38" s="8">
        <f t="shared" si="4"/>
        <v>18717.732632160187</v>
      </c>
      <c r="W38" s="8">
        <f t="shared" si="5"/>
        <v>4023.0253458023062</v>
      </c>
      <c r="X38" s="8">
        <f t="shared" si="6"/>
        <v>3048.5082149505602</v>
      </c>
      <c r="Y38" s="8"/>
      <c r="Z38" s="8">
        <f t="shared" si="7"/>
        <v>74901.570796966553</v>
      </c>
      <c r="AA38" s="8">
        <f t="shared" si="7"/>
        <v>307008.35866928112</v>
      </c>
      <c r="AB38" s="8">
        <f t="shared" si="7"/>
        <v>449225.58317184448</v>
      </c>
      <c r="AC38" s="8">
        <f t="shared" si="7"/>
        <v>96552.608299255342</v>
      </c>
      <c r="AD38" s="8">
        <f t="shared" si="7"/>
        <v>73164.197158813447</v>
      </c>
      <c r="AE38" s="8"/>
    </row>
    <row r="39" spans="1:31">
      <c r="A39" s="31">
        <v>42284.291666666701</v>
      </c>
      <c r="B39" s="34">
        <v>2250.27465820313</v>
      </c>
      <c r="C39" s="34">
        <v>2661.0800743103</v>
      </c>
      <c r="D39" s="34">
        <v>2005.0662517547601</v>
      </c>
      <c r="E39" s="34">
        <v>13950.109863281201</v>
      </c>
      <c r="F39" s="34">
        <v>7284.5947265625</v>
      </c>
      <c r="G39" s="34">
        <v>6499.7752189636203</v>
      </c>
      <c r="H39" s="34">
        <v>2139.1035318374602</v>
      </c>
      <c r="I39" s="34">
        <v>37672.150039672902</v>
      </c>
      <c r="J39" s="34"/>
      <c r="K39" s="34">
        <v>0.4</v>
      </c>
      <c r="L39" s="34">
        <v>0.4</v>
      </c>
      <c r="M39" s="34">
        <v>0.9</v>
      </c>
      <c r="N39" s="34">
        <v>0.2</v>
      </c>
      <c r="O39" s="34">
        <v>0.4</v>
      </c>
      <c r="P39" s="34">
        <v>0.05</v>
      </c>
      <c r="Q39" s="34">
        <v>0.2</v>
      </c>
      <c r="R39" s="34">
        <v>1.8</v>
      </c>
      <c r="T39" s="8">
        <f t="shared" si="2"/>
        <v>4911.3547325134296</v>
      </c>
      <c r="U39" s="8">
        <f t="shared" si="3"/>
        <v>20866.530847549391</v>
      </c>
      <c r="V39" s="8">
        <f t="shared" si="4"/>
        <v>28151.125574111891</v>
      </c>
      <c r="W39" s="8">
        <f t="shared" si="5"/>
        <v>8638.878750801081</v>
      </c>
      <c r="X39" s="8">
        <f t="shared" si="6"/>
        <v>6499.7752189636203</v>
      </c>
      <c r="Y39" s="8"/>
      <c r="Z39" s="8">
        <f t="shared" si="7"/>
        <v>117872.51358032231</v>
      </c>
      <c r="AA39" s="8">
        <f t="shared" si="7"/>
        <v>500796.74034118536</v>
      </c>
      <c r="AB39" s="8">
        <f t="shared" si="7"/>
        <v>675627.01377868536</v>
      </c>
      <c r="AC39" s="8">
        <f t="shared" si="7"/>
        <v>207333.09001922596</v>
      </c>
      <c r="AD39" s="8">
        <f t="shared" si="7"/>
        <v>155994.60525512689</v>
      </c>
      <c r="AE39" s="8"/>
    </row>
    <row r="40" spans="1:31">
      <c r="A40" s="31">
        <v>42284.375</v>
      </c>
      <c r="B40" s="34">
        <v>2734.5245361328102</v>
      </c>
      <c r="C40" s="34">
        <v>3332.4380636215201</v>
      </c>
      <c r="D40" s="34">
        <v>5479.0492057800302</v>
      </c>
      <c r="E40" s="34">
        <v>14384.311866760299</v>
      </c>
      <c r="F40" s="34">
        <v>9425.6764411926306</v>
      </c>
      <c r="G40" s="34">
        <v>10622.504711151099</v>
      </c>
      <c r="H40" s="34">
        <v>2833.02125930786</v>
      </c>
      <c r="I40" s="34">
        <v>48989.533996582002</v>
      </c>
      <c r="J40" s="34"/>
      <c r="K40" s="34">
        <v>0.9</v>
      </c>
      <c r="L40" s="34">
        <v>0.4</v>
      </c>
      <c r="M40" s="34">
        <v>1.2</v>
      </c>
      <c r="N40" s="34">
        <v>0.3</v>
      </c>
      <c r="O40" s="34">
        <v>0.3</v>
      </c>
      <c r="P40" s="34">
        <v>0.05</v>
      </c>
      <c r="Q40" s="34">
        <v>0.3</v>
      </c>
      <c r="R40" s="34">
        <v>1.8</v>
      </c>
      <c r="T40" s="8">
        <f t="shared" si="2"/>
        <v>6066.9625997543299</v>
      </c>
      <c r="U40" s="8">
        <f t="shared" si="3"/>
        <v>25930.32367229466</v>
      </c>
      <c r="V40" s="8">
        <f t="shared" si="4"/>
        <v>35356.000113487287</v>
      </c>
      <c r="W40" s="8">
        <f t="shared" si="5"/>
        <v>13455.525970458959</v>
      </c>
      <c r="X40" s="8">
        <f t="shared" si="6"/>
        <v>10622.504711151099</v>
      </c>
      <c r="Y40" s="8"/>
      <c r="Z40" s="8">
        <f t="shared" si="7"/>
        <v>145607.10239410392</v>
      </c>
      <c r="AA40" s="8">
        <f t="shared" si="7"/>
        <v>622327.76813507185</v>
      </c>
      <c r="AB40" s="8">
        <f t="shared" si="7"/>
        <v>848544.0027236949</v>
      </c>
      <c r="AC40" s="8">
        <f t="shared" si="7"/>
        <v>322932.62329101504</v>
      </c>
      <c r="AD40" s="8">
        <f t="shared" si="7"/>
        <v>254940.11306762637</v>
      </c>
      <c r="AE40" s="8"/>
    </row>
  </sheetData>
  <hyperlinks>
    <hyperlink ref="L3" r:id="rId1" xr:uid="{01F79B2B-786B-4961-B0D5-AFC9DAB02C3D}"/>
    <hyperlink ref="P3" r:id="rId2" xr:uid="{832C3B0B-F798-43F0-958D-C4B861D0B375}"/>
    <hyperlink ref="Q3" r:id="rId3" xr:uid="{E0124BC8-696C-441D-9281-AF2A86EDF3FF}"/>
    <hyperlink ref="M3" r:id="rId4" xr:uid="{C231CB71-A818-415A-AE27-BC52D574497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27A1-6117-4934-8311-FE2663914B8F}">
  <dimension ref="A1:O41"/>
  <sheetViews>
    <sheetView workbookViewId="0">
      <selection activeCell="H6" sqref="H6"/>
    </sheetView>
  </sheetViews>
  <sheetFormatPr defaultColWidth="8.90625" defaultRowHeight="14.5"/>
  <cols>
    <col min="1" max="1" width="14.6328125" style="43" bestFit="1" customWidth="1"/>
    <col min="2" max="2" width="16.36328125" style="43" bestFit="1" customWidth="1"/>
    <col min="3" max="3" width="17.6328125" style="43" bestFit="1" customWidth="1"/>
    <col min="4" max="6" width="8.90625" style="43"/>
    <col min="7" max="7" width="16.90625" style="43" bestFit="1" customWidth="1"/>
    <col min="8" max="8" width="17.453125" style="43" bestFit="1" customWidth="1"/>
    <col min="9" max="16384" width="8.90625" style="43"/>
  </cols>
  <sheetData>
    <row r="1" spans="1:15">
      <c r="B1" t="s">
        <v>99</v>
      </c>
      <c r="C1" s="63" t="s">
        <v>102</v>
      </c>
      <c r="D1" s="63" t="s">
        <v>101</v>
      </c>
      <c r="E1" t="s">
        <v>105</v>
      </c>
      <c r="F1" t="s">
        <v>106</v>
      </c>
      <c r="G1" t="s">
        <v>104</v>
      </c>
      <c r="H1" t="s">
        <v>98</v>
      </c>
      <c r="I1" t="s">
        <v>103</v>
      </c>
    </row>
    <row r="2" spans="1:15">
      <c r="A2" s="43" t="s">
        <v>82</v>
      </c>
      <c r="B2" s="43" t="s">
        <v>77</v>
      </c>
      <c r="C2" s="43" t="s">
        <v>78</v>
      </c>
      <c r="D2" s="43" t="s">
        <v>79</v>
      </c>
      <c r="E2" s="43" t="s">
        <v>80</v>
      </c>
      <c r="F2" s="43" t="s">
        <v>81</v>
      </c>
      <c r="G2" s="43" t="s">
        <v>83</v>
      </c>
      <c r="H2" s="43" t="s">
        <v>84</v>
      </c>
      <c r="I2" s="43" t="s">
        <v>77</v>
      </c>
      <c r="J2" s="43" t="s">
        <v>78</v>
      </c>
      <c r="K2" s="43" t="s">
        <v>79</v>
      </c>
      <c r="L2" s="43" t="s">
        <v>80</v>
      </c>
      <c r="M2" s="43" t="s">
        <v>81</v>
      </c>
      <c r="N2" s="43" t="s">
        <v>83</v>
      </c>
      <c r="O2" s="43" t="s">
        <v>84</v>
      </c>
    </row>
    <row r="3" spans="1:15">
      <c r="A3" s="43" t="s">
        <v>85</v>
      </c>
      <c r="B3" s="43" t="s">
        <v>86</v>
      </c>
      <c r="C3" s="43" t="s">
        <v>87</v>
      </c>
      <c r="D3" s="43" t="s">
        <v>88</v>
      </c>
      <c r="E3" s="43" t="s">
        <v>89</v>
      </c>
      <c r="F3" s="43" t="s">
        <v>90</v>
      </c>
      <c r="G3" s="43" t="s">
        <v>91</v>
      </c>
      <c r="H3" s="43" t="s">
        <v>92</v>
      </c>
      <c r="I3" s="43" t="s">
        <v>86</v>
      </c>
      <c r="J3" s="43" t="s">
        <v>87</v>
      </c>
      <c r="K3" s="43" t="s">
        <v>88</v>
      </c>
      <c r="L3" s="43" t="s">
        <v>89</v>
      </c>
      <c r="M3" s="43" t="s">
        <v>90</v>
      </c>
      <c r="N3" s="43" t="s">
        <v>91</v>
      </c>
      <c r="O3" s="43" t="s">
        <v>92</v>
      </c>
    </row>
    <row r="4" spans="1:15" s="73" customFormat="1">
      <c r="A4" s="72">
        <v>42281.375</v>
      </c>
      <c r="B4" s="73">
        <v>0.05</v>
      </c>
      <c r="C4" s="73">
        <v>0.05</v>
      </c>
      <c r="D4" s="73">
        <v>0.05</v>
      </c>
      <c r="E4" s="73">
        <v>0.05</v>
      </c>
      <c r="F4" s="73">
        <v>0.2</v>
      </c>
      <c r="G4" s="73">
        <v>0.6</v>
      </c>
      <c r="H4" s="73">
        <v>0.9</v>
      </c>
      <c r="I4" s="73">
        <v>142160.28270000001</v>
      </c>
      <c r="J4" s="73">
        <v>670577.44499999995</v>
      </c>
      <c r="K4" s="73">
        <v>971020.99970000004</v>
      </c>
      <c r="L4" s="73">
        <v>521101.94660000002</v>
      </c>
      <c r="M4" s="73">
        <v>463363.23389999999</v>
      </c>
      <c r="N4" s="73">
        <v>64229.675669999997</v>
      </c>
      <c r="O4" s="73">
        <v>130310.61629999999</v>
      </c>
    </row>
    <row r="5" spans="1:15" s="73" customFormat="1">
      <c r="A5" s="72">
        <v>42281.458333333336</v>
      </c>
      <c r="B5" s="73">
        <v>0.3</v>
      </c>
      <c r="C5" s="73">
        <v>1.2</v>
      </c>
      <c r="D5" s="73">
        <v>0.05</v>
      </c>
      <c r="E5" s="73">
        <v>0.2</v>
      </c>
      <c r="F5" s="73">
        <v>0.1</v>
      </c>
      <c r="G5" s="73">
        <v>0.05</v>
      </c>
      <c r="H5" s="73">
        <v>1</v>
      </c>
      <c r="I5" s="73">
        <v>142767.8198</v>
      </c>
      <c r="J5" s="73">
        <v>675014.50710000005</v>
      </c>
      <c r="K5" s="73">
        <v>900790.40969999996</v>
      </c>
      <c r="L5" s="73">
        <v>332942.79210000002</v>
      </c>
      <c r="M5" s="73">
        <v>262298.14449999999</v>
      </c>
      <c r="N5" s="73">
        <v>63472.674749999998</v>
      </c>
      <c r="O5" s="73">
        <v>128227.54670000001</v>
      </c>
    </row>
    <row r="6" spans="1:15" s="73" customFormat="1">
      <c r="A6" s="72">
        <v>42281.541666666664</v>
      </c>
      <c r="B6" s="73">
        <v>0.4</v>
      </c>
      <c r="C6" s="73">
        <v>0.3</v>
      </c>
      <c r="D6" s="73">
        <v>0.05</v>
      </c>
      <c r="E6" s="73">
        <v>0.3</v>
      </c>
      <c r="F6" s="73">
        <v>0.2</v>
      </c>
      <c r="G6" s="73">
        <v>1.1000000000000001</v>
      </c>
      <c r="H6" s="73">
        <v>1.4</v>
      </c>
      <c r="I6" s="73">
        <v>133951.60560000001</v>
      </c>
      <c r="J6" s="73">
        <v>592812.16850000003</v>
      </c>
      <c r="K6" s="73">
        <v>920698.69189999998</v>
      </c>
      <c r="L6" s="73">
        <v>300776.16749999998</v>
      </c>
      <c r="M6" s="73">
        <v>236214.13649999999</v>
      </c>
      <c r="N6" s="73">
        <v>60336.560440000001</v>
      </c>
      <c r="O6" s="73">
        <v>127736.1488</v>
      </c>
    </row>
    <row r="7" spans="1:15" s="73" customFormat="1">
      <c r="A7" s="72">
        <v>42281.625</v>
      </c>
      <c r="B7" s="73">
        <v>0.3</v>
      </c>
      <c r="C7" s="73">
        <v>0.8</v>
      </c>
      <c r="D7" s="73">
        <v>0.4</v>
      </c>
      <c r="E7" s="73">
        <v>0.4</v>
      </c>
      <c r="F7" s="73">
        <v>0.1</v>
      </c>
      <c r="G7" s="73">
        <v>1.2</v>
      </c>
      <c r="H7" s="73">
        <v>3</v>
      </c>
      <c r="I7" s="73">
        <v>125552.3947</v>
      </c>
      <c r="J7" s="73">
        <v>620063.82579999999</v>
      </c>
      <c r="K7" s="73">
        <v>970123.05279999995</v>
      </c>
      <c r="L7" s="73">
        <v>287782.86040000001</v>
      </c>
      <c r="M7" s="73">
        <v>226134.4963</v>
      </c>
      <c r="N7" s="73">
        <v>55693.036079999998</v>
      </c>
      <c r="O7" s="73">
        <v>175858.6967</v>
      </c>
    </row>
    <row r="8" spans="1:15" s="73" customFormat="1">
      <c r="A8" s="72">
        <v>42281.708333333336</v>
      </c>
      <c r="B8" s="73">
        <v>0.4</v>
      </c>
      <c r="C8" s="73">
        <v>0.7</v>
      </c>
      <c r="D8" s="73">
        <v>0.7</v>
      </c>
      <c r="E8" s="73">
        <v>0.4</v>
      </c>
      <c r="F8" s="73">
        <v>0.2</v>
      </c>
      <c r="G8" s="73">
        <v>0.2</v>
      </c>
      <c r="H8" s="73">
        <v>3.3</v>
      </c>
      <c r="I8" s="73">
        <v>124966.9813</v>
      </c>
      <c r="J8" s="73">
        <v>599971.96710000001</v>
      </c>
      <c r="K8" s="73">
        <v>821388.83799999999</v>
      </c>
      <c r="L8" s="73">
        <v>281939.2942</v>
      </c>
      <c r="M8" s="73">
        <v>222461.01149999999</v>
      </c>
      <c r="N8" s="73">
        <v>55008.302880000003</v>
      </c>
      <c r="O8" s="73">
        <v>158969.97760000001</v>
      </c>
    </row>
    <row r="9" spans="1:15" s="73" customFormat="1">
      <c r="A9" s="72">
        <v>42281.791666666664</v>
      </c>
      <c r="B9" s="73">
        <v>0.3</v>
      </c>
      <c r="C9" s="73">
        <v>0.5</v>
      </c>
      <c r="D9" s="73">
        <v>0.5</v>
      </c>
      <c r="E9" s="73">
        <v>0.2</v>
      </c>
      <c r="F9" s="73">
        <v>0.2</v>
      </c>
      <c r="G9" s="73">
        <v>1.4</v>
      </c>
      <c r="H9" s="73">
        <v>2.5</v>
      </c>
      <c r="I9" s="73">
        <v>146532.97690000001</v>
      </c>
      <c r="J9" s="73">
        <v>665433.38699999999</v>
      </c>
      <c r="K9" s="73">
        <v>888655.89520000003</v>
      </c>
      <c r="L9" s="73">
        <v>308758.6275</v>
      </c>
      <c r="M9" s="73">
        <v>250745.09349999999</v>
      </c>
      <c r="N9" s="73">
        <v>65192.989540000002</v>
      </c>
      <c r="O9" s="73">
        <v>154010.17569999999</v>
      </c>
    </row>
    <row r="10" spans="1:15" s="73" customFormat="1">
      <c r="A10" s="72">
        <v>42281.875</v>
      </c>
      <c r="B10" s="73">
        <v>0.4</v>
      </c>
      <c r="C10" s="73">
        <v>0.5</v>
      </c>
      <c r="D10" s="73">
        <v>0.2</v>
      </c>
      <c r="E10" s="73">
        <v>0.4</v>
      </c>
      <c r="F10" s="73">
        <v>0.2</v>
      </c>
      <c r="G10" s="73">
        <v>0.9</v>
      </c>
      <c r="H10" s="73">
        <v>1.9</v>
      </c>
      <c r="I10" s="73">
        <v>157346.7218</v>
      </c>
      <c r="J10" s="73">
        <v>867860.24380000005</v>
      </c>
      <c r="K10" s="73">
        <v>1085344.1810000001</v>
      </c>
      <c r="L10" s="73">
        <v>366799.85729999997</v>
      </c>
      <c r="M10" s="73">
        <v>277103.85590000002</v>
      </c>
      <c r="N10" s="73">
        <v>68084.470939999999</v>
      </c>
      <c r="O10" s="73">
        <v>158226.41260000001</v>
      </c>
    </row>
    <row r="11" spans="1:15" s="73" customFormat="1">
      <c r="A11" s="72">
        <v>42281.958333333336</v>
      </c>
      <c r="B11" s="73">
        <v>0.4</v>
      </c>
      <c r="C11" s="73">
        <v>0.7</v>
      </c>
      <c r="D11" s="73">
        <v>0.4</v>
      </c>
      <c r="E11" s="73">
        <v>0.6</v>
      </c>
      <c r="F11" s="73">
        <v>0.3</v>
      </c>
      <c r="G11" s="73">
        <v>0.8</v>
      </c>
      <c r="H11" s="73">
        <v>1.4</v>
      </c>
      <c r="I11" s="73">
        <v>177901.84479999999</v>
      </c>
      <c r="J11" s="73">
        <v>779165.61360000004</v>
      </c>
      <c r="K11" s="73">
        <v>1003054.676</v>
      </c>
      <c r="L11" s="73">
        <v>364545.87479999999</v>
      </c>
      <c r="M11" s="73">
        <v>278082.59350000002</v>
      </c>
      <c r="N11" s="73">
        <v>86716.931530000002</v>
      </c>
      <c r="O11" s="73">
        <v>159813.76879999999</v>
      </c>
    </row>
    <row r="12" spans="1:15">
      <c r="A12" s="44">
        <v>42282.041666666664</v>
      </c>
      <c r="B12" s="43">
        <v>0.6</v>
      </c>
      <c r="C12" s="43">
        <v>0.05</v>
      </c>
      <c r="D12" s="43">
        <v>0.8</v>
      </c>
      <c r="E12" s="43">
        <v>0.4</v>
      </c>
      <c r="F12" s="43">
        <v>0.2</v>
      </c>
      <c r="G12" s="43">
        <v>0.6</v>
      </c>
      <c r="H12" s="43">
        <v>2.1</v>
      </c>
      <c r="I12" s="43">
        <v>149516.56839999999</v>
      </c>
      <c r="J12" s="43">
        <v>679103.76430000004</v>
      </c>
      <c r="K12" s="43">
        <v>903277.59250000003</v>
      </c>
      <c r="L12" s="43">
        <v>277635.59250000003</v>
      </c>
      <c r="M12" s="43">
        <v>220113.8168</v>
      </c>
      <c r="N12" s="43">
        <v>59663.671880000002</v>
      </c>
      <c r="O12" s="43">
        <v>159592.27410000001</v>
      </c>
    </row>
    <row r="13" spans="1:15">
      <c r="A13" s="44">
        <v>42282.125</v>
      </c>
      <c r="B13" s="43">
        <v>0.4</v>
      </c>
      <c r="C13" s="43">
        <v>0.6</v>
      </c>
      <c r="D13" s="43">
        <v>0.3</v>
      </c>
      <c r="E13" s="43">
        <v>0.3</v>
      </c>
      <c r="F13" s="43">
        <v>0.3</v>
      </c>
      <c r="G13" s="43">
        <v>1</v>
      </c>
      <c r="H13" s="43">
        <v>2</v>
      </c>
      <c r="I13" s="43">
        <v>81335.769650000002</v>
      </c>
      <c r="J13" s="43">
        <v>473330.79300000001</v>
      </c>
      <c r="K13" s="43">
        <v>624075.6912</v>
      </c>
      <c r="L13" s="43">
        <v>174756.21609999999</v>
      </c>
      <c r="M13" s="43">
        <v>147887.23069999999</v>
      </c>
      <c r="N13" s="43">
        <v>38727.728459999998</v>
      </c>
      <c r="O13" s="43">
        <v>150492.6796</v>
      </c>
    </row>
    <row r="14" spans="1:15">
      <c r="A14" s="44">
        <v>42282.208333333336</v>
      </c>
      <c r="B14" s="43">
        <v>0.4</v>
      </c>
      <c r="C14" s="43">
        <v>0.8</v>
      </c>
      <c r="D14" s="43">
        <v>0.4</v>
      </c>
      <c r="E14" s="43">
        <v>0.5</v>
      </c>
      <c r="F14" s="43">
        <v>0.3</v>
      </c>
      <c r="G14" s="43">
        <v>0.7</v>
      </c>
      <c r="H14" s="43">
        <v>1.7</v>
      </c>
      <c r="I14" s="43">
        <v>70329.441260000007</v>
      </c>
      <c r="J14" s="43">
        <v>318937.93770000001</v>
      </c>
      <c r="K14" s="43">
        <v>445481.45539999998</v>
      </c>
      <c r="L14" s="43">
        <v>81909.956359999996</v>
      </c>
      <c r="M14" s="43">
        <v>59483.978459999998</v>
      </c>
      <c r="N14" s="43">
        <v>32198.687549999999</v>
      </c>
      <c r="O14" s="43">
        <v>92889.160539999997</v>
      </c>
    </row>
    <row r="15" spans="1:15">
      <c r="A15" s="44">
        <v>42282.291666666664</v>
      </c>
      <c r="B15" s="43">
        <v>0.8</v>
      </c>
      <c r="C15" s="43">
        <v>0.2</v>
      </c>
      <c r="D15" s="43">
        <v>1</v>
      </c>
      <c r="E15" s="43">
        <v>0.4</v>
      </c>
      <c r="F15" s="43">
        <v>0.3</v>
      </c>
      <c r="G15" s="43">
        <v>0.8</v>
      </c>
      <c r="H15" s="43">
        <v>0.3</v>
      </c>
      <c r="I15" s="43">
        <v>106569.84789999999</v>
      </c>
      <c r="J15" s="43">
        <v>420933.60389999999</v>
      </c>
      <c r="K15" s="43">
        <v>585975.85199999996</v>
      </c>
      <c r="L15" s="43">
        <v>319965.34649999999</v>
      </c>
      <c r="M15" s="43">
        <v>266741.55119999999</v>
      </c>
      <c r="N15" s="43">
        <v>46068.487359999999</v>
      </c>
      <c r="O15" s="43">
        <v>51988.09605</v>
      </c>
    </row>
    <row r="16" spans="1:15">
      <c r="A16" s="44">
        <v>42282.375</v>
      </c>
      <c r="B16" s="43">
        <v>0.4</v>
      </c>
      <c r="C16" s="43">
        <v>0.6</v>
      </c>
      <c r="D16" s="43">
        <v>0.2</v>
      </c>
      <c r="E16" s="43">
        <v>0.3</v>
      </c>
      <c r="F16" s="43">
        <v>0.1</v>
      </c>
      <c r="G16" s="43">
        <v>0.9</v>
      </c>
      <c r="H16" s="43">
        <v>1.2</v>
      </c>
      <c r="I16" s="43">
        <v>147400.0557</v>
      </c>
      <c r="J16" s="43">
        <v>676261.2476</v>
      </c>
      <c r="K16" s="43">
        <v>903044.37679999997</v>
      </c>
      <c r="L16" s="43">
        <v>328960.78029999998</v>
      </c>
      <c r="M16" s="43">
        <v>258017.69940000001</v>
      </c>
      <c r="N16" s="43">
        <v>66708.721730000005</v>
      </c>
      <c r="O16" s="43">
        <v>129967.83259999999</v>
      </c>
    </row>
    <row r="17" spans="1:15">
      <c r="A17" s="44">
        <v>42282.458333333336</v>
      </c>
      <c r="B17" s="43">
        <v>0.4</v>
      </c>
      <c r="C17" s="43">
        <v>0.5</v>
      </c>
      <c r="D17" s="43">
        <v>0.5</v>
      </c>
      <c r="E17" s="43">
        <v>0.3</v>
      </c>
      <c r="F17" s="43">
        <v>0.05</v>
      </c>
      <c r="G17" s="43">
        <v>0.7</v>
      </c>
      <c r="H17" s="43">
        <v>1.4</v>
      </c>
      <c r="I17" s="43">
        <v>134445.10459999999</v>
      </c>
      <c r="J17" s="43">
        <v>596380.92610000004</v>
      </c>
      <c r="K17" s="43">
        <v>924584.90639999998</v>
      </c>
      <c r="L17" s="43">
        <v>341786.00180000003</v>
      </c>
      <c r="M17" s="43">
        <v>280638.62459999998</v>
      </c>
      <c r="N17" s="43">
        <v>60946.960830000004</v>
      </c>
      <c r="O17" s="43">
        <v>124203.79029999999</v>
      </c>
    </row>
    <row r="18" spans="1:15">
      <c r="A18" s="44">
        <v>42282.541666666664</v>
      </c>
      <c r="B18" s="43">
        <v>0.4</v>
      </c>
      <c r="C18" s="43">
        <v>1.1000000000000001</v>
      </c>
      <c r="D18" s="43">
        <v>1.1000000000000001</v>
      </c>
      <c r="E18" s="43">
        <v>0.05</v>
      </c>
      <c r="F18" s="43">
        <v>0.1</v>
      </c>
      <c r="G18" s="43">
        <v>1</v>
      </c>
      <c r="H18" s="43">
        <v>1.9</v>
      </c>
      <c r="I18" s="43">
        <v>123542.54549999999</v>
      </c>
      <c r="J18" s="43">
        <v>573312.60849999997</v>
      </c>
      <c r="K18" s="43">
        <v>816947.52220000001</v>
      </c>
      <c r="L18" s="43">
        <v>307385.82919999998</v>
      </c>
      <c r="M18" s="43">
        <v>245434.22700000001</v>
      </c>
      <c r="N18" s="43">
        <v>58447.881889999997</v>
      </c>
      <c r="O18" s="43">
        <v>126487.25049999999</v>
      </c>
    </row>
    <row r="19" spans="1:15">
      <c r="A19" s="44">
        <v>42282.625</v>
      </c>
      <c r="B19" s="43">
        <v>0.4</v>
      </c>
      <c r="C19" s="43">
        <v>0.8</v>
      </c>
      <c r="D19" s="43">
        <v>1.1000000000000001</v>
      </c>
      <c r="E19" s="43">
        <v>0.2</v>
      </c>
      <c r="F19" s="43">
        <v>0.7</v>
      </c>
      <c r="G19" s="43">
        <v>1.3</v>
      </c>
      <c r="H19" s="43">
        <v>2.1</v>
      </c>
      <c r="I19" s="43">
        <v>118349.8833</v>
      </c>
      <c r="J19" s="43">
        <v>547333.28130000003</v>
      </c>
      <c r="K19" s="43">
        <v>787228.27720000001</v>
      </c>
      <c r="L19" s="43">
        <v>293483.61629999999</v>
      </c>
      <c r="M19" s="43">
        <v>243226.22219999999</v>
      </c>
      <c r="N19" s="43">
        <v>51055.84087</v>
      </c>
      <c r="O19" s="43">
        <v>127552.5364</v>
      </c>
    </row>
    <row r="20" spans="1:15">
      <c r="A20" s="44">
        <v>42282.708333333336</v>
      </c>
      <c r="B20" s="43">
        <v>0.7</v>
      </c>
      <c r="C20" s="43">
        <v>1.9</v>
      </c>
      <c r="D20" s="43">
        <v>0.5</v>
      </c>
      <c r="E20" s="43">
        <v>0.4</v>
      </c>
      <c r="F20" s="43">
        <v>0.05</v>
      </c>
      <c r="G20" s="43">
        <v>1</v>
      </c>
      <c r="H20" s="43">
        <v>2.5</v>
      </c>
      <c r="I20" s="43">
        <v>116547.6139</v>
      </c>
      <c r="J20" s="43">
        <v>559771.20900000003</v>
      </c>
      <c r="K20" s="43">
        <v>797390.20160000003</v>
      </c>
      <c r="L20" s="43">
        <v>269706.31479999999</v>
      </c>
      <c r="M20" s="43">
        <v>216469.33590000001</v>
      </c>
      <c r="N20" s="43">
        <v>50851.757810000003</v>
      </c>
      <c r="O20" s="43">
        <v>125242.6884</v>
      </c>
    </row>
    <row r="21" spans="1:15">
      <c r="A21" s="44">
        <v>42282.791666666664</v>
      </c>
      <c r="B21" s="43">
        <v>0.3</v>
      </c>
      <c r="C21" s="43">
        <v>1.3</v>
      </c>
      <c r="D21" s="43">
        <v>0.9</v>
      </c>
      <c r="E21" s="43">
        <v>0.2</v>
      </c>
      <c r="F21" s="43">
        <v>0.2</v>
      </c>
      <c r="G21" s="43">
        <v>1.1000000000000001</v>
      </c>
      <c r="H21" s="43">
        <v>2.2000000000000002</v>
      </c>
      <c r="I21" s="43">
        <v>142994.799</v>
      </c>
      <c r="J21" s="43">
        <v>629011.2476</v>
      </c>
      <c r="K21" s="43">
        <v>871622.0638</v>
      </c>
      <c r="L21" s="43">
        <v>319245.55320000002</v>
      </c>
      <c r="M21" s="43">
        <v>247300.4883</v>
      </c>
      <c r="N21" s="43">
        <v>65140.661999999997</v>
      </c>
      <c r="O21" s="43">
        <v>124562.3943</v>
      </c>
    </row>
    <row r="22" spans="1:15">
      <c r="A22" s="44">
        <v>42282.875</v>
      </c>
      <c r="B22" s="43">
        <v>0.4</v>
      </c>
      <c r="C22" s="43">
        <v>0.05</v>
      </c>
      <c r="D22" s="43">
        <v>0.7</v>
      </c>
      <c r="E22" s="43">
        <v>0.2</v>
      </c>
      <c r="F22" s="43">
        <v>0.5</v>
      </c>
      <c r="G22" s="43">
        <v>1</v>
      </c>
      <c r="H22" s="43">
        <v>1.5</v>
      </c>
      <c r="I22" s="43">
        <v>163510.70079999999</v>
      </c>
      <c r="J22" s="43">
        <v>903375.93900000001</v>
      </c>
      <c r="K22" s="43">
        <v>1207232.5819999999</v>
      </c>
      <c r="L22" s="43">
        <v>544929.56200000003</v>
      </c>
      <c r="M22" s="43">
        <v>443650.09460000001</v>
      </c>
      <c r="N22" s="43">
        <v>73060.5772</v>
      </c>
      <c r="O22" s="43">
        <v>178379.4823</v>
      </c>
    </row>
    <row r="23" spans="1:15">
      <c r="A23" s="44">
        <v>42282.958333333336</v>
      </c>
      <c r="B23" s="43">
        <v>0.3</v>
      </c>
      <c r="C23" s="43">
        <v>0.9</v>
      </c>
      <c r="D23" s="43">
        <v>0.9</v>
      </c>
      <c r="E23" s="43">
        <v>0.3</v>
      </c>
      <c r="F23" s="43">
        <v>0.6</v>
      </c>
      <c r="G23" s="43">
        <v>0.8</v>
      </c>
      <c r="H23" s="43">
        <v>1.2</v>
      </c>
      <c r="I23" s="43">
        <v>184389.02780000001</v>
      </c>
      <c r="J23" s="43">
        <v>867740.01049999997</v>
      </c>
      <c r="K23" s="43">
        <v>1149413.3</v>
      </c>
      <c r="L23" s="43">
        <v>404860.69679999998</v>
      </c>
      <c r="M23" s="43">
        <v>312837.71899999998</v>
      </c>
      <c r="N23" s="43">
        <v>94018.005749999997</v>
      </c>
      <c r="O23" s="43">
        <v>180539.26389999999</v>
      </c>
    </row>
    <row r="24" spans="1:15" s="73" customFormat="1">
      <c r="A24" s="72">
        <v>42283.041666666664</v>
      </c>
      <c r="B24" s="73">
        <v>0.6</v>
      </c>
      <c r="C24" s="73">
        <v>0.3</v>
      </c>
      <c r="D24" s="73">
        <v>0.1</v>
      </c>
      <c r="E24" s="73">
        <v>0.3</v>
      </c>
      <c r="F24" s="73">
        <v>0.05</v>
      </c>
      <c r="G24" s="73">
        <v>0.9</v>
      </c>
      <c r="H24" s="73">
        <v>1.2</v>
      </c>
      <c r="I24" s="73">
        <v>127982.59450000001</v>
      </c>
      <c r="J24" s="73">
        <v>768250.80810000002</v>
      </c>
      <c r="K24" s="73">
        <v>998668.38630000001</v>
      </c>
      <c r="L24" s="73">
        <v>279198.35820000002</v>
      </c>
      <c r="M24" s="73">
        <v>221904.66380000001</v>
      </c>
      <c r="N24" s="73">
        <v>60422.521589999997</v>
      </c>
      <c r="O24" s="73">
        <v>180442.05549999999</v>
      </c>
    </row>
    <row r="25" spans="1:15" s="73" customFormat="1">
      <c r="A25" s="72">
        <v>42283.125</v>
      </c>
      <c r="B25" s="73">
        <v>0.4</v>
      </c>
      <c r="C25" s="73">
        <v>1.3</v>
      </c>
      <c r="D25" s="73">
        <v>1.2</v>
      </c>
      <c r="E25" s="73">
        <v>0.8</v>
      </c>
      <c r="F25" s="73">
        <v>0.05</v>
      </c>
      <c r="G25" s="73">
        <v>0.9</v>
      </c>
      <c r="H25" s="73">
        <v>1.9</v>
      </c>
      <c r="I25" s="73">
        <v>79979.301449999999</v>
      </c>
      <c r="J25" s="73">
        <v>480354.29080000002</v>
      </c>
      <c r="K25" s="73">
        <v>640155.98829999997</v>
      </c>
      <c r="L25" s="73">
        <v>128770.02069999999</v>
      </c>
      <c r="M25" s="73">
        <v>100728.9803</v>
      </c>
      <c r="N25" s="73">
        <v>37563.751029999999</v>
      </c>
      <c r="O25" s="73">
        <v>165707.02059999999</v>
      </c>
    </row>
    <row r="26" spans="1:15" s="73" customFormat="1">
      <c r="A26" s="72">
        <v>42283.208333333336</v>
      </c>
      <c r="B26" s="73">
        <v>0.4</v>
      </c>
      <c r="C26" s="73">
        <v>0.5</v>
      </c>
      <c r="D26" s="73">
        <v>0.3</v>
      </c>
      <c r="E26" s="73">
        <v>0.5</v>
      </c>
      <c r="F26" s="73">
        <v>0.05</v>
      </c>
      <c r="G26" s="73">
        <v>0.8</v>
      </c>
      <c r="H26" s="73">
        <v>2.6</v>
      </c>
      <c r="I26" s="73">
        <v>71900.07591</v>
      </c>
      <c r="J26" s="73">
        <v>476012.7892</v>
      </c>
      <c r="K26" s="73">
        <v>642346.83380000002</v>
      </c>
      <c r="L26" s="73">
        <v>179480.02650000001</v>
      </c>
      <c r="M26" s="73">
        <v>156831.23819999999</v>
      </c>
      <c r="N26" s="73">
        <v>35733.734320000003</v>
      </c>
      <c r="O26" s="73">
        <v>101979.681</v>
      </c>
    </row>
    <row r="27" spans="1:15" s="73" customFormat="1">
      <c r="A27" s="72">
        <v>42283.291666666664</v>
      </c>
      <c r="B27" s="73">
        <v>0.5</v>
      </c>
      <c r="C27" s="73">
        <v>0.2</v>
      </c>
      <c r="D27" s="73">
        <v>0.1</v>
      </c>
      <c r="E27" s="73">
        <v>0.5</v>
      </c>
      <c r="F27" s="73">
        <v>0.05</v>
      </c>
      <c r="G27" s="73">
        <v>0.8</v>
      </c>
      <c r="H27" s="73">
        <v>1.5</v>
      </c>
      <c r="I27" s="73">
        <v>114841.8217</v>
      </c>
      <c r="J27" s="73">
        <v>476623.82809999998</v>
      </c>
      <c r="K27" s="73">
        <v>684742.14020000002</v>
      </c>
      <c r="L27" s="73">
        <v>338616.9645</v>
      </c>
      <c r="M27" s="73">
        <v>276497.92560000002</v>
      </c>
      <c r="N27" s="73">
        <v>52231.024360000003</v>
      </c>
      <c r="O27" s="73">
        <v>49537.549209999997</v>
      </c>
    </row>
    <row r="28" spans="1:15" s="73" customFormat="1">
      <c r="A28" s="72">
        <v>42283.375</v>
      </c>
      <c r="B28" s="73">
        <v>0.1</v>
      </c>
      <c r="C28" s="73">
        <v>0.5</v>
      </c>
      <c r="D28" s="73">
        <v>0.3</v>
      </c>
      <c r="E28" s="73">
        <v>0.1</v>
      </c>
      <c r="F28" s="73">
        <v>0.05</v>
      </c>
      <c r="G28" s="73">
        <v>0.8</v>
      </c>
      <c r="H28" s="73">
        <v>1.5</v>
      </c>
      <c r="I28" s="73">
        <v>158150.51420000001</v>
      </c>
      <c r="J28" s="73">
        <v>648976.79099999997</v>
      </c>
      <c r="K28" s="73">
        <v>928350.86170000001</v>
      </c>
      <c r="L28" s="73">
        <v>362348.65379999997</v>
      </c>
      <c r="M28" s="73">
        <v>303437.28100000002</v>
      </c>
      <c r="N28" s="73">
        <v>67879.6875</v>
      </c>
      <c r="O28" s="73">
        <v>129416.51119999999</v>
      </c>
    </row>
    <row r="29" spans="1:15" s="73" customFormat="1">
      <c r="A29" s="72">
        <v>42283.458333333336</v>
      </c>
      <c r="B29" s="73">
        <v>0.2</v>
      </c>
      <c r="C29" s="73">
        <v>0.6</v>
      </c>
      <c r="D29" s="73">
        <v>0.3</v>
      </c>
      <c r="E29" s="73">
        <v>0.05</v>
      </c>
      <c r="F29" s="73">
        <v>0.05</v>
      </c>
      <c r="G29" s="73">
        <v>0.5</v>
      </c>
      <c r="H29" s="73">
        <v>1.1000000000000001</v>
      </c>
      <c r="I29" s="73">
        <v>133989.1171</v>
      </c>
      <c r="J29" s="73">
        <v>611322.98470000003</v>
      </c>
      <c r="K29" s="73">
        <v>877301.98860000004</v>
      </c>
      <c r="L29" s="73">
        <v>356116.20770000003</v>
      </c>
      <c r="M29" s="73">
        <v>289972.09399999998</v>
      </c>
      <c r="N29" s="73">
        <v>64055.920030000001</v>
      </c>
      <c r="O29" s="73">
        <v>136085.21580000001</v>
      </c>
    </row>
    <row r="30" spans="1:15" s="73" customFormat="1">
      <c r="A30" s="72">
        <v>42283.541666666664</v>
      </c>
      <c r="B30" s="73">
        <v>0.3</v>
      </c>
      <c r="C30" s="73">
        <v>0.6</v>
      </c>
      <c r="D30" s="73">
        <v>0.6</v>
      </c>
      <c r="E30" s="73">
        <v>0.1</v>
      </c>
      <c r="F30" s="73">
        <v>0.05</v>
      </c>
      <c r="G30" s="73">
        <v>0.9</v>
      </c>
      <c r="H30" s="73">
        <v>1.5</v>
      </c>
      <c r="I30" s="73">
        <v>117959.8137</v>
      </c>
      <c r="J30" s="73">
        <v>569558.31759999995</v>
      </c>
      <c r="K30" s="73">
        <v>824203.11809999996</v>
      </c>
      <c r="L30" s="73">
        <v>291188.83669999999</v>
      </c>
      <c r="M30" s="73">
        <v>233825.26930000001</v>
      </c>
      <c r="N30" s="73">
        <v>53010.174749999998</v>
      </c>
      <c r="O30" s="73">
        <v>130600.67600000001</v>
      </c>
    </row>
    <row r="31" spans="1:15" s="73" customFormat="1">
      <c r="A31" s="72">
        <v>42283.625</v>
      </c>
      <c r="B31" s="73">
        <v>0.5</v>
      </c>
      <c r="C31" s="73">
        <v>0.2</v>
      </c>
      <c r="D31" s="73">
        <v>0.5</v>
      </c>
      <c r="E31" s="73">
        <v>0.05</v>
      </c>
      <c r="F31" s="73">
        <v>0.3</v>
      </c>
      <c r="G31" s="73">
        <v>0.8</v>
      </c>
      <c r="H31" s="73">
        <v>1.9</v>
      </c>
      <c r="I31" s="73">
        <v>119424.5316</v>
      </c>
      <c r="J31" s="73">
        <v>596697.11609999998</v>
      </c>
      <c r="K31" s="73">
        <v>948893.1152</v>
      </c>
      <c r="L31" s="73">
        <v>216755.01819999999</v>
      </c>
      <c r="M31" s="73">
        <v>163175.2556</v>
      </c>
      <c r="N31" s="73">
        <v>53849.969669999999</v>
      </c>
      <c r="O31" s="73">
        <v>133843.92240000001</v>
      </c>
    </row>
    <row r="32" spans="1:15" s="73" customFormat="1">
      <c r="A32" s="72">
        <v>42283.708333333336</v>
      </c>
      <c r="B32" s="73">
        <v>0.2</v>
      </c>
      <c r="C32" s="73">
        <v>0.4</v>
      </c>
      <c r="D32" s="73">
        <v>0.1</v>
      </c>
      <c r="E32" s="73">
        <v>0.3</v>
      </c>
      <c r="F32" s="73">
        <v>0.05</v>
      </c>
      <c r="G32" s="73">
        <v>1.3</v>
      </c>
      <c r="H32" s="73">
        <v>1.2</v>
      </c>
      <c r="I32" s="73">
        <v>119055.6948</v>
      </c>
      <c r="J32" s="73">
        <v>761744.13809999998</v>
      </c>
      <c r="K32" s="73">
        <v>984510.49399999995</v>
      </c>
      <c r="L32" s="73">
        <v>187634.27239999999</v>
      </c>
      <c r="M32" s="73">
        <v>136730.86170000001</v>
      </c>
      <c r="N32" s="73">
        <v>54513.439180000001</v>
      </c>
      <c r="O32" s="73">
        <v>133395.66990000001</v>
      </c>
    </row>
    <row r="33" spans="1:15" s="73" customFormat="1">
      <c r="A33" s="72">
        <v>42283.791666666664</v>
      </c>
      <c r="B33" s="73">
        <v>0.2</v>
      </c>
      <c r="C33" s="73">
        <v>0.05</v>
      </c>
      <c r="D33" s="73">
        <v>0.3</v>
      </c>
      <c r="E33" s="73">
        <v>0.05</v>
      </c>
      <c r="F33" s="73">
        <v>0.05</v>
      </c>
      <c r="G33" s="73">
        <v>0.4</v>
      </c>
      <c r="H33" s="73">
        <v>1.4</v>
      </c>
      <c r="I33" s="73">
        <v>145710.6966</v>
      </c>
      <c r="J33" s="73">
        <v>635641.87950000004</v>
      </c>
      <c r="K33" s="73">
        <v>891313.94979999994</v>
      </c>
      <c r="L33" s="73">
        <v>394846.19179999997</v>
      </c>
      <c r="M33" s="73">
        <v>302057.22659999999</v>
      </c>
      <c r="N33" s="73">
        <v>65449.158100000001</v>
      </c>
      <c r="O33" s="73">
        <v>130758.87910000001</v>
      </c>
    </row>
    <row r="34" spans="1:15" s="73" customFormat="1">
      <c r="A34" s="72">
        <v>42283.875</v>
      </c>
      <c r="B34" s="73">
        <v>0.4</v>
      </c>
      <c r="C34" s="73">
        <v>0.4</v>
      </c>
      <c r="D34" s="73">
        <v>0.1</v>
      </c>
      <c r="E34" s="73">
        <v>0.2</v>
      </c>
      <c r="F34" s="73">
        <v>0.05</v>
      </c>
      <c r="G34" s="73">
        <v>0.8</v>
      </c>
      <c r="H34" s="73">
        <v>1.6</v>
      </c>
      <c r="I34" s="73">
        <v>156920.5055</v>
      </c>
      <c r="J34" s="73">
        <v>748278.78110000002</v>
      </c>
      <c r="K34" s="73">
        <v>972328.14789999998</v>
      </c>
      <c r="L34" s="73">
        <v>379090.54070000001</v>
      </c>
      <c r="M34" s="73">
        <v>288737.96539999999</v>
      </c>
      <c r="N34" s="73">
        <v>66280.51758</v>
      </c>
      <c r="O34" s="73">
        <v>181707.10370000001</v>
      </c>
    </row>
    <row r="35" spans="1:15" s="73" customFormat="1">
      <c r="A35" s="72">
        <v>42283.958333333336</v>
      </c>
      <c r="B35" s="73">
        <v>0.5</v>
      </c>
      <c r="C35" s="73">
        <v>0.3</v>
      </c>
      <c r="D35" s="73">
        <v>0.5</v>
      </c>
      <c r="E35" s="73">
        <v>0.2</v>
      </c>
      <c r="F35" s="73">
        <v>0.05</v>
      </c>
      <c r="G35" s="73">
        <v>0.6</v>
      </c>
      <c r="H35" s="73">
        <v>1.2</v>
      </c>
      <c r="I35" s="73">
        <v>177746.63889999999</v>
      </c>
      <c r="J35" s="73">
        <v>807288.18629999994</v>
      </c>
      <c r="K35" s="73">
        <v>1145997.3899999999</v>
      </c>
      <c r="L35" s="73">
        <v>430364.34860000003</v>
      </c>
      <c r="M35" s="73">
        <v>334714.45079999999</v>
      </c>
      <c r="N35" s="73">
        <v>86505.46875</v>
      </c>
      <c r="O35" s="73">
        <v>182765.37549999999</v>
      </c>
    </row>
    <row r="36" spans="1:15">
      <c r="A36" s="44">
        <v>42284.041666666664</v>
      </c>
      <c r="B36" s="43">
        <v>0.5</v>
      </c>
      <c r="C36" s="43">
        <v>0.3</v>
      </c>
      <c r="D36" s="43">
        <v>0.6</v>
      </c>
      <c r="E36" s="43">
        <v>0.2</v>
      </c>
      <c r="F36" s="43">
        <v>0.05</v>
      </c>
      <c r="G36" s="43">
        <v>0.9</v>
      </c>
      <c r="H36" s="43">
        <v>1.5</v>
      </c>
      <c r="I36" s="43">
        <v>123731.39019999999</v>
      </c>
      <c r="J36" s="43">
        <v>665879.18299999996</v>
      </c>
      <c r="K36" s="43">
        <v>889428.10880000005</v>
      </c>
      <c r="L36" s="43">
        <v>289598.18459999998</v>
      </c>
      <c r="M36" s="43">
        <v>230036.8401</v>
      </c>
      <c r="N36" s="43">
        <v>56925.439449999998</v>
      </c>
      <c r="O36" s="43">
        <v>183480.21470000001</v>
      </c>
    </row>
    <row r="37" spans="1:15">
      <c r="A37" s="44">
        <v>42284.125</v>
      </c>
      <c r="B37" s="43">
        <v>0.3</v>
      </c>
      <c r="C37" s="43">
        <v>0.1</v>
      </c>
      <c r="D37" s="43">
        <v>0.5</v>
      </c>
      <c r="E37" s="43">
        <v>0.2</v>
      </c>
      <c r="F37" s="43">
        <v>0.05</v>
      </c>
      <c r="G37" s="43">
        <v>0.5</v>
      </c>
      <c r="H37" s="43">
        <v>0.6</v>
      </c>
      <c r="I37" s="43">
        <v>79332.921700000006</v>
      </c>
      <c r="J37" s="43">
        <v>530995.91189999995</v>
      </c>
      <c r="K37" s="43">
        <v>691248.03509999998</v>
      </c>
      <c r="L37" s="43">
        <v>181462.53260000001</v>
      </c>
      <c r="M37" s="43">
        <v>151666.6992</v>
      </c>
      <c r="N37" s="43">
        <v>37556.433109999998</v>
      </c>
      <c r="O37" s="43">
        <v>170281.8615</v>
      </c>
    </row>
    <row r="38" spans="1:15">
      <c r="A38" s="44">
        <v>42284.208333333336</v>
      </c>
      <c r="B38" s="43">
        <v>0.3</v>
      </c>
      <c r="C38" s="43">
        <v>0.2</v>
      </c>
      <c r="D38" s="43">
        <v>0.2</v>
      </c>
      <c r="E38" s="43">
        <v>0.4</v>
      </c>
      <c r="F38" s="43">
        <v>0.05</v>
      </c>
      <c r="G38" s="43">
        <v>0.6</v>
      </c>
      <c r="H38" s="43">
        <v>2.2999999999999998</v>
      </c>
      <c r="I38" s="43">
        <v>74901.570800000001</v>
      </c>
      <c r="J38" s="43">
        <v>307008.35869999998</v>
      </c>
      <c r="K38" s="43">
        <v>449225.58319999999</v>
      </c>
      <c r="L38" s="43">
        <v>96552.608300000007</v>
      </c>
      <c r="M38" s="43">
        <v>73164.197159999996</v>
      </c>
      <c r="N38" s="43">
        <v>36642.810060000003</v>
      </c>
      <c r="O38" s="43">
        <v>98966.99295</v>
      </c>
    </row>
    <row r="39" spans="1:15">
      <c r="A39" s="44">
        <v>42284.291666666664</v>
      </c>
      <c r="B39" s="43">
        <v>0.4</v>
      </c>
      <c r="C39" s="43">
        <v>0.2</v>
      </c>
      <c r="D39" s="43">
        <v>0.4</v>
      </c>
      <c r="E39" s="43">
        <v>0.2</v>
      </c>
      <c r="F39" s="43">
        <v>0.05</v>
      </c>
      <c r="G39" s="43">
        <v>0.4</v>
      </c>
      <c r="H39" s="43">
        <v>0.9</v>
      </c>
      <c r="I39" s="43">
        <v>117872.51360000001</v>
      </c>
      <c r="J39" s="43">
        <v>500796.7403</v>
      </c>
      <c r="K39" s="43">
        <v>675627.01379999996</v>
      </c>
      <c r="L39" s="43">
        <v>207333.09</v>
      </c>
      <c r="M39" s="43">
        <v>155994.6053</v>
      </c>
      <c r="N39" s="43">
        <v>54006.591800000002</v>
      </c>
      <c r="O39" s="43">
        <v>48121.590040000003</v>
      </c>
    </row>
    <row r="40" spans="1:15">
      <c r="A40" s="44">
        <v>42284.375</v>
      </c>
      <c r="B40" s="43">
        <v>0.4</v>
      </c>
      <c r="C40" s="43">
        <v>0.3</v>
      </c>
      <c r="D40" s="43">
        <v>0.3</v>
      </c>
      <c r="E40" s="43">
        <v>0.3</v>
      </c>
      <c r="F40" s="43">
        <v>0.05</v>
      </c>
      <c r="G40" s="43">
        <v>0.9</v>
      </c>
      <c r="H40" s="43">
        <v>1.2</v>
      </c>
      <c r="I40" s="43">
        <v>145607.1024</v>
      </c>
      <c r="J40" s="43">
        <v>622327.76809999999</v>
      </c>
      <c r="K40" s="43">
        <v>848544.00269999995</v>
      </c>
      <c r="L40" s="43">
        <v>322932.62329999998</v>
      </c>
      <c r="M40" s="43">
        <v>254940.11309999999</v>
      </c>
      <c r="N40" s="43">
        <v>65628.588870000007</v>
      </c>
      <c r="O40" s="43">
        <v>131497.18090000001</v>
      </c>
    </row>
    <row r="41" spans="1:15">
      <c r="B41" s="43">
        <f>AVERAGE(B4:B40)</f>
        <v>0.38513513513513525</v>
      </c>
      <c r="C41" s="43">
        <f>AVERAGE(C4:C40)</f>
        <v>0.54054054054054068</v>
      </c>
      <c r="G41" s="43">
        <f>AVERAGE(G4:G40)</f>
        <v>0.80945945945945941</v>
      </c>
      <c r="H41" s="43">
        <f>AVERAGE(H4:H40)</f>
        <v>1.637837837837838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A9D6-AD77-4F3C-81AC-42EB763BFF48}">
  <dimension ref="A1:S93"/>
  <sheetViews>
    <sheetView topLeftCell="C1" workbookViewId="0">
      <selection activeCell="H3" sqref="H3"/>
    </sheetView>
  </sheetViews>
  <sheetFormatPr defaultRowHeight="14.5"/>
  <cols>
    <col min="2" max="2" width="16.36328125" bestFit="1" customWidth="1"/>
    <col min="3" max="3" width="15.6328125" style="63" bestFit="1" customWidth="1"/>
    <col min="4" max="4" width="17.6328125" style="63" bestFit="1" customWidth="1"/>
    <col min="5" max="5" width="19.453125" bestFit="1" customWidth="1"/>
    <col min="6" max="6" width="17" bestFit="1" customWidth="1"/>
    <col min="7" max="7" width="15.81640625" bestFit="1" customWidth="1"/>
    <col min="8" max="8" width="16.90625" bestFit="1" customWidth="1"/>
    <col min="9" max="9" width="17.453125" bestFit="1" customWidth="1"/>
    <col min="10" max="10" width="12" bestFit="1" customWidth="1"/>
    <col min="11" max="11" width="14.6328125" bestFit="1" customWidth="1"/>
  </cols>
  <sheetData>
    <row r="1" spans="1:19">
      <c r="B1" t="s">
        <v>99</v>
      </c>
      <c r="C1" s="63" t="s">
        <v>102</v>
      </c>
      <c r="D1" s="63" t="s">
        <v>101</v>
      </c>
      <c r="E1" t="s">
        <v>105</v>
      </c>
      <c r="F1" t="s">
        <v>106</v>
      </c>
      <c r="G1" t="s">
        <v>104</v>
      </c>
      <c r="H1" t="s">
        <v>98</v>
      </c>
      <c r="I1" t="s">
        <v>103</v>
      </c>
    </row>
    <row r="2" spans="1:19">
      <c r="A2" s="43" t="s">
        <v>82</v>
      </c>
      <c r="B2" s="43" t="s">
        <v>77</v>
      </c>
      <c r="C2" s="55" t="s">
        <v>78</v>
      </c>
      <c r="D2" s="55" t="s">
        <v>100</v>
      </c>
      <c r="E2" s="43" t="s">
        <v>79</v>
      </c>
      <c r="F2" s="43" t="s">
        <v>80</v>
      </c>
      <c r="G2" s="43" t="s">
        <v>81</v>
      </c>
      <c r="H2" s="43" t="s">
        <v>83</v>
      </c>
      <c r="I2" s="43" t="s">
        <v>84</v>
      </c>
      <c r="J2" s="34" t="s">
        <v>95</v>
      </c>
      <c r="K2" s="34" t="s">
        <v>82</v>
      </c>
      <c r="L2" s="43" t="s">
        <v>77</v>
      </c>
      <c r="M2" s="43" t="s">
        <v>78</v>
      </c>
      <c r="N2" s="43" t="s">
        <v>79</v>
      </c>
      <c r="O2" s="43" t="s">
        <v>80</v>
      </c>
      <c r="P2" s="43" t="s">
        <v>81</v>
      </c>
      <c r="Q2" s="43" t="s">
        <v>83</v>
      </c>
      <c r="R2" s="43" t="s">
        <v>84</v>
      </c>
      <c r="S2" s="34" t="s">
        <v>95</v>
      </c>
    </row>
    <row r="3" spans="1:19">
      <c r="A3" s="43" t="s">
        <v>85</v>
      </c>
      <c r="B3" s="43" t="s">
        <v>86</v>
      </c>
      <c r="C3" s="55" t="s">
        <v>87</v>
      </c>
      <c r="D3" s="55" t="s">
        <v>87</v>
      </c>
      <c r="E3" s="43" t="s">
        <v>88</v>
      </c>
      <c r="F3" s="43" t="s">
        <v>89</v>
      </c>
      <c r="G3" s="43" t="s">
        <v>90</v>
      </c>
      <c r="H3" s="34" t="s">
        <v>91</v>
      </c>
      <c r="I3" s="34" t="s">
        <v>92</v>
      </c>
      <c r="J3" s="43" t="s">
        <v>96</v>
      </c>
      <c r="K3" s="34" t="s">
        <v>97</v>
      </c>
      <c r="L3" s="43" t="s">
        <v>86</v>
      </c>
      <c r="M3" s="43" t="s">
        <v>87</v>
      </c>
      <c r="N3" s="43" t="s">
        <v>88</v>
      </c>
      <c r="O3" s="43" t="s">
        <v>89</v>
      </c>
      <c r="P3" s="43" t="s">
        <v>90</v>
      </c>
      <c r="Q3" s="43" t="s">
        <v>91</v>
      </c>
      <c r="R3" s="43" t="s">
        <v>92</v>
      </c>
      <c r="S3" s="43" t="s">
        <v>96</v>
      </c>
    </row>
    <row r="4" spans="1:19">
      <c r="A4" s="52">
        <v>42281</v>
      </c>
      <c r="B4" s="45">
        <v>0.1</v>
      </c>
      <c r="C4" s="56">
        <v>0.7</v>
      </c>
      <c r="D4" s="45">
        <v>0.3</v>
      </c>
      <c r="E4" s="45">
        <v>0.6</v>
      </c>
      <c r="F4" s="45">
        <v>0.3</v>
      </c>
      <c r="G4" s="45">
        <v>0.4</v>
      </c>
      <c r="H4" s="45">
        <v>0.6</v>
      </c>
      <c r="I4" s="45">
        <v>1</v>
      </c>
      <c r="J4" s="45">
        <v>0.7</v>
      </c>
      <c r="K4" s="44">
        <v>42281.375</v>
      </c>
      <c r="L4" s="43">
        <v>142160.28270000001</v>
      </c>
      <c r="M4" s="43">
        <v>670577.44499999995</v>
      </c>
      <c r="N4" s="43">
        <v>971020.99970000004</v>
      </c>
      <c r="O4" s="43">
        <v>521101.94660000002</v>
      </c>
      <c r="P4" s="43">
        <v>463363.23389999999</v>
      </c>
      <c r="Q4" s="43">
        <v>64229.675669999997</v>
      </c>
      <c r="R4" s="43">
        <v>130310.61629999999</v>
      </c>
      <c r="S4" s="34">
        <v>62692.485809326201</v>
      </c>
    </row>
    <row r="5" spans="1:19">
      <c r="A5" s="52">
        <v>42281</v>
      </c>
      <c r="B5" s="45">
        <v>0.3</v>
      </c>
      <c r="C5" s="56">
        <v>1.9</v>
      </c>
      <c r="D5" s="45">
        <v>1.2</v>
      </c>
      <c r="E5" s="45">
        <v>0.4</v>
      </c>
      <c r="F5" s="45">
        <v>0.3</v>
      </c>
      <c r="G5" s="45">
        <v>0.9</v>
      </c>
      <c r="H5" s="45">
        <v>0.4</v>
      </c>
      <c r="I5" s="45">
        <v>1.3</v>
      </c>
      <c r="J5" s="45">
        <v>0.9</v>
      </c>
      <c r="K5" s="44">
        <v>42281.458333333336</v>
      </c>
      <c r="L5" s="43">
        <v>142767.8198</v>
      </c>
      <c r="M5" s="43">
        <v>675014.50710000005</v>
      </c>
      <c r="N5" s="43">
        <v>900790.40969999996</v>
      </c>
      <c r="O5" s="43">
        <v>332942.79210000002</v>
      </c>
      <c r="P5" s="43">
        <v>262298.14449999999</v>
      </c>
      <c r="Q5" s="43">
        <v>63472.674749999998</v>
      </c>
      <c r="R5" s="43">
        <v>128227.54670000001</v>
      </c>
      <c r="S5" s="34">
        <v>50340.890121459997</v>
      </c>
    </row>
    <row r="6" spans="1:19">
      <c r="A6" s="52">
        <v>42281</v>
      </c>
      <c r="B6" s="45">
        <v>0.3</v>
      </c>
      <c r="C6" s="56">
        <v>3.1</v>
      </c>
      <c r="D6" s="45">
        <v>0.6</v>
      </c>
      <c r="E6" s="45" t="s">
        <v>93</v>
      </c>
      <c r="F6" s="45">
        <v>0.6</v>
      </c>
      <c r="G6" s="45">
        <v>1.4</v>
      </c>
      <c r="H6" s="45">
        <v>1.2</v>
      </c>
      <c r="I6" s="45">
        <v>1.8</v>
      </c>
      <c r="J6" s="45">
        <v>0.8</v>
      </c>
      <c r="K6" s="44">
        <v>42281.541666666664</v>
      </c>
      <c r="L6" s="43">
        <v>133951.60560000001</v>
      </c>
      <c r="M6" s="43">
        <v>592812.16850000003</v>
      </c>
      <c r="N6" s="43">
        <v>920698.69189999998</v>
      </c>
      <c r="O6" s="43">
        <v>300776.16749999998</v>
      </c>
      <c r="P6" s="43">
        <v>236214.13649999999</v>
      </c>
      <c r="Q6" s="43">
        <v>60336.560440000001</v>
      </c>
      <c r="R6" s="43">
        <v>127736.1488</v>
      </c>
      <c r="S6" s="34">
        <v>44201.671600341797</v>
      </c>
    </row>
    <row r="7" spans="1:19">
      <c r="A7" s="52">
        <v>42281</v>
      </c>
      <c r="B7" s="45">
        <v>0.6</v>
      </c>
      <c r="C7" s="56">
        <v>4.2</v>
      </c>
      <c r="D7" s="45">
        <v>0.8</v>
      </c>
      <c r="E7" s="45">
        <v>0.4</v>
      </c>
      <c r="F7" s="45">
        <v>0.7</v>
      </c>
      <c r="G7" s="45">
        <v>0.8</v>
      </c>
      <c r="H7" s="45">
        <v>1.7</v>
      </c>
      <c r="I7" s="45">
        <v>3.2</v>
      </c>
      <c r="J7" s="45">
        <v>1.6</v>
      </c>
      <c r="K7" s="44">
        <v>42281.625</v>
      </c>
      <c r="L7" s="43">
        <v>125552.3947</v>
      </c>
      <c r="M7" s="43">
        <v>620063.82579999999</v>
      </c>
      <c r="N7" s="43">
        <v>970123.05279999995</v>
      </c>
      <c r="O7" s="43">
        <v>287782.86040000001</v>
      </c>
      <c r="P7" s="43">
        <v>226134.4963</v>
      </c>
      <c r="Q7" s="43">
        <v>55693.036079999998</v>
      </c>
      <c r="R7" s="43">
        <v>175858.6967</v>
      </c>
      <c r="S7" s="34">
        <v>53136.999893188498</v>
      </c>
    </row>
    <row r="8" spans="1:19">
      <c r="A8" s="52">
        <v>42281</v>
      </c>
      <c r="B8" s="45">
        <v>0.6</v>
      </c>
      <c r="C8" s="56">
        <v>6.1</v>
      </c>
      <c r="D8" s="45">
        <v>0.9</v>
      </c>
      <c r="E8" s="45">
        <v>0.7</v>
      </c>
      <c r="F8" s="45">
        <v>0.7</v>
      </c>
      <c r="G8" s="45">
        <v>0.6</v>
      </c>
      <c r="H8" s="45">
        <v>1.5</v>
      </c>
      <c r="I8" s="45">
        <v>3.3</v>
      </c>
      <c r="J8" s="45">
        <v>1.8</v>
      </c>
      <c r="K8" s="44">
        <v>42281.708333333336</v>
      </c>
      <c r="L8" s="43">
        <v>124966.9813</v>
      </c>
      <c r="M8" s="43">
        <v>599971.96710000001</v>
      </c>
      <c r="N8" s="43">
        <v>821388.83799999999</v>
      </c>
      <c r="O8" s="43">
        <v>281939.2942</v>
      </c>
      <c r="P8" s="43">
        <v>222461.01149999999</v>
      </c>
      <c r="Q8" s="43">
        <v>55008.302880000003</v>
      </c>
      <c r="R8" s="43">
        <v>158969.97760000001</v>
      </c>
      <c r="S8" s="34">
        <v>44180.121231079102</v>
      </c>
    </row>
    <row r="9" spans="1:19">
      <c r="A9" s="52">
        <v>42281</v>
      </c>
      <c r="B9" s="45">
        <v>0.4</v>
      </c>
      <c r="C9" s="56">
        <v>6.5</v>
      </c>
      <c r="D9" s="45">
        <v>0.8</v>
      </c>
      <c r="E9" s="45">
        <v>0.7</v>
      </c>
      <c r="F9" s="45">
        <v>0.4</v>
      </c>
      <c r="G9" s="45">
        <v>0.8</v>
      </c>
      <c r="H9" s="45">
        <v>1.4</v>
      </c>
      <c r="I9" s="45">
        <v>2.6</v>
      </c>
      <c r="J9" s="45">
        <v>2.6</v>
      </c>
      <c r="K9" s="44">
        <v>42281.791666666664</v>
      </c>
      <c r="L9" s="43">
        <v>146532.97690000001</v>
      </c>
      <c r="M9" s="43">
        <v>665433.38699999999</v>
      </c>
      <c r="N9" s="43">
        <v>888655.89520000003</v>
      </c>
      <c r="O9" s="43">
        <v>308758.6275</v>
      </c>
      <c r="P9" s="43">
        <v>250745.09349999999</v>
      </c>
      <c r="Q9" s="43">
        <v>65192.989540000002</v>
      </c>
      <c r="R9" s="43">
        <v>154010.17569999999</v>
      </c>
      <c r="S9" s="34">
        <v>52152.848052978501</v>
      </c>
    </row>
    <row r="10" spans="1:19">
      <c r="A10" s="52">
        <v>42281</v>
      </c>
      <c r="B10" s="45">
        <v>0.4</v>
      </c>
      <c r="C10" s="56">
        <v>4.3</v>
      </c>
      <c r="D10" s="45">
        <v>0.7</v>
      </c>
      <c r="E10" s="45">
        <v>0.3</v>
      </c>
      <c r="F10" s="45">
        <v>0.5</v>
      </c>
      <c r="G10" s="45">
        <v>0.3</v>
      </c>
      <c r="H10" s="45">
        <v>0.9</v>
      </c>
      <c r="I10" s="45">
        <v>2.1</v>
      </c>
      <c r="J10" s="45">
        <v>3.4</v>
      </c>
      <c r="K10" s="44">
        <v>42281.875</v>
      </c>
      <c r="L10" s="43">
        <v>157346.7218</v>
      </c>
      <c r="M10" s="43">
        <v>867860.24380000005</v>
      </c>
      <c r="N10" s="43">
        <v>1085344.1810000001</v>
      </c>
      <c r="O10" s="43">
        <v>366799.85729999997</v>
      </c>
      <c r="P10" s="43">
        <v>277103.85590000002</v>
      </c>
      <c r="Q10" s="43">
        <v>68084.470939999999</v>
      </c>
      <c r="R10" s="43">
        <v>158226.41260000001</v>
      </c>
      <c r="S10" s="34">
        <v>63444.465637207002</v>
      </c>
    </row>
    <row r="11" spans="1:19">
      <c r="A11" s="52">
        <v>42281</v>
      </c>
      <c r="B11" s="45">
        <v>0.5</v>
      </c>
      <c r="C11" s="56">
        <v>4.3</v>
      </c>
      <c r="D11" s="45">
        <v>0.7</v>
      </c>
      <c r="E11" s="45">
        <v>0.4</v>
      </c>
      <c r="F11" s="45">
        <v>0.6</v>
      </c>
      <c r="G11" s="45">
        <v>0.8</v>
      </c>
      <c r="H11" s="45">
        <v>1.6</v>
      </c>
      <c r="I11" s="45">
        <v>1.8</v>
      </c>
      <c r="J11" s="45">
        <v>2.7</v>
      </c>
      <c r="K11" s="44">
        <v>42281.958333333336</v>
      </c>
      <c r="L11" s="43">
        <v>177901.84479999999</v>
      </c>
      <c r="M11" s="43">
        <v>779165.61360000004</v>
      </c>
      <c r="N11" s="43">
        <v>1003054.676</v>
      </c>
      <c r="O11" s="43">
        <v>364545.87479999999</v>
      </c>
      <c r="P11" s="43">
        <v>278082.59350000002</v>
      </c>
      <c r="Q11" s="43">
        <v>86716.931530000002</v>
      </c>
      <c r="R11" s="43">
        <v>159813.76879999999</v>
      </c>
      <c r="S11" s="34">
        <v>57651.6494750977</v>
      </c>
    </row>
    <row r="12" spans="1:19">
      <c r="A12" s="52">
        <v>42282</v>
      </c>
      <c r="B12" s="45">
        <v>0.7</v>
      </c>
      <c r="C12" s="56">
        <v>2.9</v>
      </c>
      <c r="D12" s="45">
        <v>0.3</v>
      </c>
      <c r="E12" s="45">
        <v>0.9</v>
      </c>
      <c r="F12" s="45">
        <v>0.4</v>
      </c>
      <c r="G12" s="45">
        <v>0.3</v>
      </c>
      <c r="H12" s="45">
        <v>0.6</v>
      </c>
      <c r="I12" s="45">
        <v>2.1</v>
      </c>
      <c r="J12" s="45">
        <v>2.4</v>
      </c>
      <c r="K12" s="44">
        <v>42282.041666666664</v>
      </c>
      <c r="L12" s="43">
        <v>149516.56839999999</v>
      </c>
      <c r="M12" s="43">
        <v>679103.76430000004</v>
      </c>
      <c r="N12" s="43">
        <v>903277.59250000003</v>
      </c>
      <c r="O12" s="43">
        <v>277635.59250000003</v>
      </c>
      <c r="P12" s="43">
        <v>220113.8168</v>
      </c>
      <c r="Q12" s="43">
        <v>59663.671880000002</v>
      </c>
      <c r="R12" s="43">
        <v>159592.27410000001</v>
      </c>
      <c r="S12" s="34">
        <v>46340.407562255903</v>
      </c>
    </row>
    <row r="13" spans="1:19">
      <c r="A13" s="52">
        <v>42282</v>
      </c>
      <c r="B13" s="45">
        <v>0.6</v>
      </c>
      <c r="C13" s="56">
        <v>2.4</v>
      </c>
      <c r="D13" s="45">
        <v>0.6</v>
      </c>
      <c r="E13" s="45">
        <v>0.7</v>
      </c>
      <c r="F13" s="45">
        <v>0.5</v>
      </c>
      <c r="G13" s="45">
        <v>0.6</v>
      </c>
      <c r="H13" s="45">
        <v>1</v>
      </c>
      <c r="I13" s="45">
        <v>2.5</v>
      </c>
      <c r="J13" s="45">
        <v>2.5</v>
      </c>
      <c r="K13" s="44">
        <v>42282.125</v>
      </c>
      <c r="L13" s="43">
        <v>81335.769650000002</v>
      </c>
      <c r="M13" s="43">
        <v>473330.79300000001</v>
      </c>
      <c r="N13" s="43">
        <v>624075.6912</v>
      </c>
      <c r="O13" s="43">
        <v>174756.21609999999</v>
      </c>
      <c r="P13" s="43">
        <v>147887.23069999999</v>
      </c>
      <c r="Q13" s="43">
        <v>38727.728459999998</v>
      </c>
      <c r="R13" s="43">
        <v>150492.6796</v>
      </c>
      <c r="S13" s="34">
        <v>32948.207473754897</v>
      </c>
    </row>
    <row r="14" spans="1:19">
      <c r="A14" s="52">
        <v>42282</v>
      </c>
      <c r="B14" s="45">
        <v>0.4</v>
      </c>
      <c r="C14" s="56">
        <v>2.7</v>
      </c>
      <c r="D14" s="45">
        <v>0.8</v>
      </c>
      <c r="E14" s="45">
        <v>0.4</v>
      </c>
      <c r="F14" s="45">
        <v>0.6</v>
      </c>
      <c r="G14" s="45">
        <v>0.5</v>
      </c>
      <c r="H14" s="45">
        <v>0.7</v>
      </c>
      <c r="I14" s="45">
        <v>1.7</v>
      </c>
      <c r="J14" s="45">
        <v>2.6</v>
      </c>
      <c r="K14" s="44">
        <v>42282.208333333336</v>
      </c>
      <c r="L14" s="43">
        <v>70329.441260000007</v>
      </c>
      <c r="M14" s="43">
        <v>318937.93770000001</v>
      </c>
      <c r="N14" s="43">
        <v>445481.45539999998</v>
      </c>
      <c r="O14" s="43">
        <v>81909.956359999996</v>
      </c>
      <c r="P14" s="43">
        <v>59483.978459999998</v>
      </c>
      <c r="Q14" s="43">
        <v>32198.687549999999</v>
      </c>
      <c r="R14" s="43">
        <v>92889.160539999997</v>
      </c>
      <c r="S14" s="34">
        <v>25732.4970245361</v>
      </c>
    </row>
    <row r="15" spans="1:19">
      <c r="A15" s="52">
        <v>42282</v>
      </c>
      <c r="B15" s="45">
        <v>0.8</v>
      </c>
      <c r="C15" s="56">
        <v>4.5999999999999996</v>
      </c>
      <c r="D15" s="45">
        <v>1.2</v>
      </c>
      <c r="E15" s="45">
        <v>1</v>
      </c>
      <c r="F15" s="45">
        <v>0.4</v>
      </c>
      <c r="G15" s="45">
        <v>0.3</v>
      </c>
      <c r="H15" s="45">
        <v>0.8</v>
      </c>
      <c r="I15" s="45">
        <v>1.2</v>
      </c>
      <c r="J15" s="45">
        <v>3</v>
      </c>
      <c r="K15" s="44">
        <v>42282.291666666664</v>
      </c>
      <c r="L15" s="43">
        <v>106569.84789999999</v>
      </c>
      <c r="M15" s="43">
        <v>420933.60389999999</v>
      </c>
      <c r="N15" s="43">
        <v>585975.85199999996</v>
      </c>
      <c r="O15" s="43">
        <v>319965.34649999999</v>
      </c>
      <c r="P15" s="43">
        <v>266741.55119999999</v>
      </c>
      <c r="Q15" s="43">
        <v>46068.487359999999</v>
      </c>
      <c r="R15" s="43">
        <v>51988.09605</v>
      </c>
      <c r="S15" s="34">
        <v>33064.744949340798</v>
      </c>
    </row>
    <row r="16" spans="1:19">
      <c r="A16" s="52">
        <v>42282</v>
      </c>
      <c r="B16" s="46">
        <v>0.6</v>
      </c>
      <c r="C16" s="57">
        <v>1.2</v>
      </c>
      <c r="D16" s="46">
        <v>1.4</v>
      </c>
      <c r="E16" s="46">
        <v>0.6</v>
      </c>
      <c r="F16" s="46">
        <v>0.4</v>
      </c>
      <c r="G16" s="46">
        <v>0.3</v>
      </c>
      <c r="H16" s="46">
        <v>0.9</v>
      </c>
      <c r="I16" s="46">
        <v>1.2</v>
      </c>
      <c r="J16" s="47">
        <v>1.5</v>
      </c>
      <c r="K16" s="44">
        <v>42282.375</v>
      </c>
      <c r="L16" s="43">
        <v>147400.0557</v>
      </c>
      <c r="M16" s="43">
        <v>676261.2476</v>
      </c>
      <c r="N16" s="43">
        <v>903044.37679999997</v>
      </c>
      <c r="O16" s="43">
        <v>328960.78029999998</v>
      </c>
      <c r="P16" s="43">
        <v>258017.69940000001</v>
      </c>
      <c r="Q16" s="43">
        <v>66708.721730000005</v>
      </c>
      <c r="R16" s="43">
        <v>129967.83259999999</v>
      </c>
      <c r="S16" s="34">
        <v>48552.652359008804</v>
      </c>
    </row>
    <row r="17" spans="1:19">
      <c r="A17" s="52">
        <v>42282</v>
      </c>
      <c r="B17" s="46">
        <v>0.6</v>
      </c>
      <c r="C17" s="57">
        <v>3.9</v>
      </c>
      <c r="D17" s="46">
        <v>1.7</v>
      </c>
      <c r="E17" s="46">
        <v>1.1000000000000001</v>
      </c>
      <c r="F17" s="46">
        <v>0.5</v>
      </c>
      <c r="G17" s="46">
        <v>0.1</v>
      </c>
      <c r="H17" s="46">
        <v>0.8</v>
      </c>
      <c r="I17" s="46">
        <v>1.4</v>
      </c>
      <c r="J17" s="46">
        <v>1.5</v>
      </c>
      <c r="K17" s="44">
        <v>42282.458333333336</v>
      </c>
      <c r="L17" s="43">
        <v>134445.10459999999</v>
      </c>
      <c r="M17" s="43">
        <v>596380.92610000004</v>
      </c>
      <c r="N17" s="43">
        <v>924584.90639999998</v>
      </c>
      <c r="O17" s="43">
        <v>341786.00180000003</v>
      </c>
      <c r="P17" s="43">
        <v>280638.62459999998</v>
      </c>
      <c r="Q17" s="43">
        <v>60946.960830000004</v>
      </c>
      <c r="R17" s="43">
        <v>124203.79029999999</v>
      </c>
      <c r="S17" s="34">
        <v>56755.669784545898</v>
      </c>
    </row>
    <row r="18" spans="1:19">
      <c r="A18" s="52">
        <v>42282</v>
      </c>
      <c r="B18" s="46">
        <v>0.5</v>
      </c>
      <c r="C18" s="57">
        <v>3.4</v>
      </c>
      <c r="D18" s="46">
        <v>1.2</v>
      </c>
      <c r="E18" s="46">
        <v>1.1000000000000001</v>
      </c>
      <c r="F18" s="46">
        <v>0.2</v>
      </c>
      <c r="G18" s="46">
        <v>0.7</v>
      </c>
      <c r="H18" s="47">
        <v>1</v>
      </c>
      <c r="I18" s="47">
        <v>2</v>
      </c>
      <c r="J18" s="46">
        <v>1.4</v>
      </c>
      <c r="K18" s="44">
        <v>42282.541666666664</v>
      </c>
      <c r="L18" s="43">
        <v>123542.54549999999</v>
      </c>
      <c r="M18" s="43">
        <v>573312.60849999997</v>
      </c>
      <c r="N18" s="43">
        <v>816947.52220000001</v>
      </c>
      <c r="O18" s="43">
        <v>307385.82919999998</v>
      </c>
      <c r="P18" s="43">
        <v>245434.22700000001</v>
      </c>
      <c r="Q18" s="43">
        <v>58447.881889999997</v>
      </c>
      <c r="R18" s="43">
        <v>126487.25049999999</v>
      </c>
      <c r="S18" s="34">
        <v>47422.3171234131</v>
      </c>
    </row>
    <row r="19" spans="1:19">
      <c r="A19" s="52">
        <v>42282</v>
      </c>
      <c r="B19" s="46">
        <v>0.5</v>
      </c>
      <c r="C19" s="57">
        <v>5.7</v>
      </c>
      <c r="D19" s="46">
        <v>0.9</v>
      </c>
      <c r="E19" s="46">
        <v>1.3</v>
      </c>
      <c r="F19" s="46">
        <v>0.4</v>
      </c>
      <c r="G19" s="47">
        <v>1</v>
      </c>
      <c r="H19" s="46">
        <v>1.3</v>
      </c>
      <c r="I19" s="46">
        <v>2.1</v>
      </c>
      <c r="J19" s="46">
        <v>3.9</v>
      </c>
      <c r="K19" s="44">
        <v>42282.625</v>
      </c>
      <c r="L19" s="43">
        <v>118349.8833</v>
      </c>
      <c r="M19" s="43">
        <v>547333.28130000003</v>
      </c>
      <c r="N19" s="43">
        <v>787228.27720000001</v>
      </c>
      <c r="O19" s="43">
        <v>293483.61629999999</v>
      </c>
      <c r="P19" s="43">
        <v>243226.22219999999</v>
      </c>
      <c r="Q19" s="43">
        <v>51055.84087</v>
      </c>
      <c r="R19" s="43">
        <v>127552.5364</v>
      </c>
      <c r="S19" s="34">
        <v>45878.113174438498</v>
      </c>
    </row>
    <row r="20" spans="1:19">
      <c r="A20" s="52">
        <v>42282</v>
      </c>
      <c r="B20" s="48">
        <v>0.8</v>
      </c>
      <c r="C20" s="58">
        <v>6.3</v>
      </c>
      <c r="D20" s="48">
        <v>1.9</v>
      </c>
      <c r="E20" s="48">
        <v>1.3</v>
      </c>
      <c r="F20" s="48">
        <v>0.4</v>
      </c>
      <c r="G20" s="48">
        <v>0.6</v>
      </c>
      <c r="H20" s="48">
        <v>1.7</v>
      </c>
      <c r="I20" s="48">
        <v>2.5</v>
      </c>
      <c r="J20" s="48">
        <v>4.3</v>
      </c>
      <c r="K20" s="44">
        <v>42282.708333333336</v>
      </c>
      <c r="L20" s="43">
        <v>116547.6139</v>
      </c>
      <c r="M20" s="43">
        <v>559771.20900000003</v>
      </c>
      <c r="N20" s="43">
        <v>797390.20160000003</v>
      </c>
      <c r="O20" s="43">
        <v>269706.31479999999</v>
      </c>
      <c r="P20" s="43">
        <v>216469.33590000001</v>
      </c>
      <c r="Q20" s="43">
        <v>50851.757810000003</v>
      </c>
      <c r="R20" s="43">
        <v>125242.6884</v>
      </c>
      <c r="S20" s="34">
        <v>48800.919342041001</v>
      </c>
    </row>
    <row r="21" spans="1:19">
      <c r="A21" s="52">
        <v>42282</v>
      </c>
      <c r="B21" s="46">
        <v>0.3</v>
      </c>
      <c r="C21" s="57">
        <v>4.4000000000000004</v>
      </c>
      <c r="D21" s="46">
        <v>1.4</v>
      </c>
      <c r="E21" s="46">
        <v>1.1000000000000001</v>
      </c>
      <c r="F21" s="46">
        <v>0.4</v>
      </c>
      <c r="G21" s="46">
        <v>0.9</v>
      </c>
      <c r="H21" s="46">
        <v>1.3</v>
      </c>
      <c r="I21" s="46">
        <v>2.2000000000000002</v>
      </c>
      <c r="J21" s="46">
        <v>2.2999999999999998</v>
      </c>
      <c r="K21" s="44">
        <v>42282.791666666664</v>
      </c>
      <c r="L21" s="43">
        <v>142994.799</v>
      </c>
      <c r="M21" s="43">
        <v>629011.2476</v>
      </c>
      <c r="N21" s="43">
        <v>871622.0638</v>
      </c>
      <c r="O21" s="43">
        <v>319245.55320000002</v>
      </c>
      <c r="P21" s="43">
        <v>247300.4883</v>
      </c>
      <c r="Q21" s="43">
        <v>65140.661999999997</v>
      </c>
      <c r="R21" s="43">
        <v>124562.3943</v>
      </c>
      <c r="S21" s="34">
        <v>50774.8672485352</v>
      </c>
    </row>
    <row r="22" spans="1:19">
      <c r="A22" s="52">
        <v>42282</v>
      </c>
      <c r="B22" s="46">
        <v>0.4</v>
      </c>
      <c r="C22" s="57">
        <v>0.5</v>
      </c>
      <c r="D22" s="46">
        <v>0.5</v>
      </c>
      <c r="E22" s="46">
        <v>9.6</v>
      </c>
      <c r="F22" s="46">
        <v>0.5</v>
      </c>
      <c r="G22" s="46">
        <v>1.8</v>
      </c>
      <c r="H22" s="46">
        <v>1.3</v>
      </c>
      <c r="I22" s="46">
        <v>1.5</v>
      </c>
      <c r="J22" s="46">
        <v>1.8</v>
      </c>
      <c r="K22" s="44">
        <v>42282.875</v>
      </c>
      <c r="L22" s="43">
        <v>163510.70079999999</v>
      </c>
      <c r="M22" s="43">
        <v>903375.93900000001</v>
      </c>
      <c r="N22" s="43">
        <v>1207232.5819999999</v>
      </c>
      <c r="O22" s="43">
        <v>544929.56200000003</v>
      </c>
      <c r="P22" s="43">
        <v>443650.09460000001</v>
      </c>
      <c r="Q22" s="43">
        <v>73060.5772</v>
      </c>
      <c r="R22" s="43">
        <v>178379.4823</v>
      </c>
      <c r="S22" s="34">
        <v>68406.626129150405</v>
      </c>
    </row>
    <row r="23" spans="1:19">
      <c r="A23" s="52">
        <v>42282</v>
      </c>
      <c r="B23" s="46">
        <v>0.6</v>
      </c>
      <c r="C23" s="57">
        <v>3.7</v>
      </c>
      <c r="D23" s="47">
        <v>1</v>
      </c>
      <c r="E23" s="46">
        <v>0.9</v>
      </c>
      <c r="F23" s="46">
        <v>0.5</v>
      </c>
      <c r="G23" s="46">
        <v>0.6</v>
      </c>
      <c r="H23" s="46">
        <v>0.8</v>
      </c>
      <c r="I23" s="46">
        <v>1.2</v>
      </c>
      <c r="J23" s="46">
        <v>1.2</v>
      </c>
      <c r="K23" s="44">
        <v>42282.958333333336</v>
      </c>
      <c r="L23" s="43">
        <v>184389.02780000001</v>
      </c>
      <c r="M23" s="43">
        <v>867740.01049999997</v>
      </c>
      <c r="N23" s="43">
        <v>1149413.3</v>
      </c>
      <c r="O23" s="43">
        <v>404860.69679999998</v>
      </c>
      <c r="P23" s="43">
        <v>312837.71899999998</v>
      </c>
      <c r="Q23" s="43">
        <v>94018.005749999997</v>
      </c>
      <c r="R23" s="43">
        <v>180539.26389999999</v>
      </c>
      <c r="S23" s="34">
        <v>62583.1718444824</v>
      </c>
    </row>
    <row r="24" spans="1:19">
      <c r="A24" s="52">
        <v>42283</v>
      </c>
      <c r="B24" s="46">
        <v>0.8</v>
      </c>
      <c r="C24" s="57">
        <v>2.4</v>
      </c>
      <c r="D24" s="46">
        <v>0.3</v>
      </c>
      <c r="E24" s="46">
        <v>0.1</v>
      </c>
      <c r="F24" s="46">
        <v>0.4</v>
      </c>
      <c r="G24" s="46">
        <v>0.9</v>
      </c>
      <c r="H24" s="47">
        <v>1</v>
      </c>
      <c r="I24" s="46">
        <v>1.2</v>
      </c>
      <c r="J24" s="46">
        <v>2.5</v>
      </c>
      <c r="K24" s="44">
        <v>42283.041666666664</v>
      </c>
      <c r="L24" s="43">
        <v>127982.59450000001</v>
      </c>
      <c r="M24" s="43">
        <v>768250.80810000002</v>
      </c>
      <c r="N24" s="43">
        <v>998668.38630000001</v>
      </c>
      <c r="O24" s="43">
        <v>279198.35820000002</v>
      </c>
      <c r="P24" s="43">
        <v>221904.66380000001</v>
      </c>
      <c r="Q24" s="43">
        <v>60422.521589999997</v>
      </c>
      <c r="R24" s="43">
        <v>180442.05549999999</v>
      </c>
      <c r="S24" s="34">
        <v>50916.082763671897</v>
      </c>
    </row>
    <row r="25" spans="1:19">
      <c r="A25" s="52">
        <v>42283</v>
      </c>
      <c r="B25" s="46">
        <v>0.5</v>
      </c>
      <c r="C25" s="57">
        <v>1.7</v>
      </c>
      <c r="D25" s="46">
        <v>1.5</v>
      </c>
      <c r="E25" s="46">
        <v>10</v>
      </c>
      <c r="F25" s="46">
        <v>0.9</v>
      </c>
      <c r="G25" s="47">
        <v>1</v>
      </c>
      <c r="H25" s="46">
        <v>0.9</v>
      </c>
      <c r="I25" s="46">
        <v>1.9</v>
      </c>
      <c r="J25" s="46">
        <v>3.7</v>
      </c>
      <c r="K25" s="44">
        <v>42283.125</v>
      </c>
      <c r="L25" s="43">
        <v>79979.301449999999</v>
      </c>
      <c r="M25" s="43">
        <v>480354.29080000002</v>
      </c>
      <c r="N25" s="43">
        <v>640155.98829999997</v>
      </c>
      <c r="O25" s="43">
        <v>128770.02069999999</v>
      </c>
      <c r="P25" s="43">
        <v>100728.9803</v>
      </c>
      <c r="Q25" s="43">
        <v>37563.751029999999</v>
      </c>
      <c r="R25" s="43">
        <v>165707.02059999999</v>
      </c>
      <c r="S25" s="34">
        <v>33754.421997070298</v>
      </c>
    </row>
    <row r="26" spans="1:19">
      <c r="A26" s="52">
        <v>42283</v>
      </c>
      <c r="B26" s="46">
        <v>0.5</v>
      </c>
      <c r="C26" s="57">
        <v>6.9</v>
      </c>
      <c r="D26" s="46">
        <v>0.5</v>
      </c>
      <c r="E26" s="46">
        <v>7.2</v>
      </c>
      <c r="F26" s="46">
        <v>1.2</v>
      </c>
      <c r="G26" s="46">
        <v>6.2</v>
      </c>
      <c r="H26" s="46">
        <v>0.8</v>
      </c>
      <c r="I26" s="46">
        <v>2.6</v>
      </c>
      <c r="J26" s="46">
        <v>3.4</v>
      </c>
      <c r="K26" s="44">
        <v>42283.208333333336</v>
      </c>
      <c r="L26" s="43">
        <v>71900.07591</v>
      </c>
      <c r="M26" s="43">
        <v>476012.7892</v>
      </c>
      <c r="N26" s="43">
        <v>642346.83380000002</v>
      </c>
      <c r="O26" s="43">
        <v>179480.02650000001</v>
      </c>
      <c r="P26" s="43">
        <v>156831.23819999999</v>
      </c>
      <c r="Q26" s="43">
        <v>35733.734320000003</v>
      </c>
      <c r="R26" s="43">
        <v>101979.681</v>
      </c>
      <c r="S26" s="34">
        <v>29762.872695922899</v>
      </c>
    </row>
    <row r="27" spans="1:19">
      <c r="A27" s="52">
        <v>42283</v>
      </c>
      <c r="B27" s="46">
        <v>0.6</v>
      </c>
      <c r="C27" s="57">
        <v>8.4</v>
      </c>
      <c r="D27" s="46">
        <v>0.2</v>
      </c>
      <c r="E27" s="46">
        <v>8.5</v>
      </c>
      <c r="F27" s="46">
        <v>0.6</v>
      </c>
      <c r="G27" s="46">
        <v>1.5</v>
      </c>
      <c r="H27" s="46">
        <v>0.8</v>
      </c>
      <c r="I27" s="46">
        <v>1.5</v>
      </c>
      <c r="J27" s="47">
        <v>3</v>
      </c>
      <c r="K27" s="44">
        <v>42283.291666666664</v>
      </c>
      <c r="L27" s="43">
        <v>114841.8217</v>
      </c>
      <c r="M27" s="43">
        <v>476623.82809999998</v>
      </c>
      <c r="N27" s="43">
        <v>684742.14020000002</v>
      </c>
      <c r="O27" s="43">
        <v>338616.9645</v>
      </c>
      <c r="P27" s="43">
        <v>276497.92560000002</v>
      </c>
      <c r="Q27" s="43">
        <v>52231.024360000003</v>
      </c>
      <c r="R27" s="43">
        <v>49537.549209999997</v>
      </c>
      <c r="S27" s="34">
        <v>38843.498611450203</v>
      </c>
    </row>
    <row r="28" spans="1:19">
      <c r="A28" s="52">
        <v>42283</v>
      </c>
      <c r="B28" s="46">
        <v>0.1</v>
      </c>
      <c r="C28" s="57">
        <v>4.5</v>
      </c>
      <c r="D28" s="46">
        <v>0.5</v>
      </c>
      <c r="E28" s="46">
        <v>0.3</v>
      </c>
      <c r="F28" s="46">
        <v>0.1</v>
      </c>
      <c r="G28" s="46">
        <v>0.5</v>
      </c>
      <c r="H28" s="46">
        <v>1.1000000000000001</v>
      </c>
      <c r="I28" s="46">
        <v>1.5</v>
      </c>
      <c r="J28" s="47">
        <v>2.2999999999999998</v>
      </c>
      <c r="K28" s="44">
        <v>42283.375</v>
      </c>
      <c r="L28" s="43">
        <v>158150.51420000001</v>
      </c>
      <c r="M28" s="43">
        <v>648976.79099999997</v>
      </c>
      <c r="N28" s="43">
        <v>928350.86170000001</v>
      </c>
      <c r="O28" s="43">
        <v>362348.65379999997</v>
      </c>
      <c r="P28" s="43">
        <v>303437.28100000002</v>
      </c>
      <c r="Q28" s="43">
        <v>67879.6875</v>
      </c>
      <c r="R28" s="43">
        <v>129416.51119999999</v>
      </c>
      <c r="S28" s="34">
        <v>48666.5256500244</v>
      </c>
    </row>
    <row r="29" spans="1:19">
      <c r="A29" s="52">
        <v>42283</v>
      </c>
      <c r="B29" s="46">
        <v>0.2</v>
      </c>
      <c r="C29" s="57">
        <v>3.8</v>
      </c>
      <c r="D29" s="46">
        <v>1.1000000000000001</v>
      </c>
      <c r="E29" s="46">
        <v>0.3</v>
      </c>
      <c r="F29" s="46" t="s">
        <v>94</v>
      </c>
      <c r="G29" s="46">
        <v>0.3</v>
      </c>
      <c r="H29" s="46">
        <v>0.7</v>
      </c>
      <c r="I29" s="46">
        <v>1.1000000000000001</v>
      </c>
      <c r="J29" s="46">
        <v>1.3</v>
      </c>
      <c r="K29" s="44">
        <v>42283.458333333336</v>
      </c>
      <c r="L29" s="43">
        <v>133989.1171</v>
      </c>
      <c r="M29" s="43">
        <v>611322.98470000003</v>
      </c>
      <c r="N29" s="43">
        <v>877301.98860000004</v>
      </c>
      <c r="O29" s="43">
        <v>356116.20770000003</v>
      </c>
      <c r="P29" s="43">
        <v>289972.09399999998</v>
      </c>
      <c r="Q29" s="43">
        <v>64055.920030000001</v>
      </c>
      <c r="R29" s="43">
        <v>136085.21580000001</v>
      </c>
      <c r="S29" s="34">
        <v>47972.728729248003</v>
      </c>
    </row>
    <row r="30" spans="1:19">
      <c r="A30" s="52">
        <v>42283</v>
      </c>
      <c r="B30" s="46">
        <v>0.4</v>
      </c>
      <c r="C30" s="57">
        <v>3.5</v>
      </c>
      <c r="D30" s="46">
        <v>0.6</v>
      </c>
      <c r="E30" s="46">
        <v>0.6</v>
      </c>
      <c r="F30" s="46">
        <v>0.1</v>
      </c>
      <c r="G30" s="46">
        <v>0.6</v>
      </c>
      <c r="H30" s="46">
        <v>0.9</v>
      </c>
      <c r="I30" s="46">
        <v>1.5</v>
      </c>
      <c r="J30" s="46">
        <v>1.4</v>
      </c>
      <c r="K30" s="44">
        <v>42283.541666666664</v>
      </c>
      <c r="L30" s="43">
        <v>117959.8137</v>
      </c>
      <c r="M30" s="43">
        <v>569558.31759999995</v>
      </c>
      <c r="N30" s="43">
        <v>824203.11809999996</v>
      </c>
      <c r="O30" s="43">
        <v>291188.83669999999</v>
      </c>
      <c r="P30" s="43">
        <v>233825.26930000001</v>
      </c>
      <c r="Q30" s="43">
        <v>53010.174749999998</v>
      </c>
      <c r="R30" s="43">
        <v>130600.67600000001</v>
      </c>
      <c r="S30" s="34">
        <v>47076.021194458001</v>
      </c>
    </row>
    <row r="31" spans="1:19">
      <c r="A31" s="52">
        <v>42283</v>
      </c>
      <c r="B31" s="46">
        <v>0.5</v>
      </c>
      <c r="C31" s="57">
        <v>2.7</v>
      </c>
      <c r="D31" s="46">
        <v>0.2</v>
      </c>
      <c r="E31" s="46">
        <v>0.5</v>
      </c>
      <c r="F31" s="46" t="s">
        <v>94</v>
      </c>
      <c r="G31" s="46">
        <v>0.5</v>
      </c>
      <c r="H31" s="46">
        <v>0.8</v>
      </c>
      <c r="I31" s="46">
        <v>1.9</v>
      </c>
      <c r="J31" s="46">
        <v>2.5</v>
      </c>
      <c r="K31" s="44">
        <v>42283.625</v>
      </c>
      <c r="L31" s="43">
        <v>119424.5316</v>
      </c>
      <c r="M31" s="43">
        <v>596697.11609999998</v>
      </c>
      <c r="N31" s="43">
        <v>948893.1152</v>
      </c>
      <c r="O31" s="43">
        <v>216755.01819999999</v>
      </c>
      <c r="P31" s="43">
        <v>163175.2556</v>
      </c>
      <c r="Q31" s="43">
        <v>53849.969669999999</v>
      </c>
      <c r="R31" s="43">
        <v>133843.92240000001</v>
      </c>
      <c r="S31" s="34">
        <v>51420.774078369097</v>
      </c>
    </row>
    <row r="32" spans="1:19">
      <c r="A32" s="52">
        <v>42283</v>
      </c>
      <c r="B32" s="48">
        <v>0.2</v>
      </c>
      <c r="C32" s="58">
        <v>3.3</v>
      </c>
      <c r="D32" s="48">
        <v>0.4</v>
      </c>
      <c r="E32" s="48">
        <v>0.6</v>
      </c>
      <c r="F32" s="48">
        <v>0.4</v>
      </c>
      <c r="G32" s="48">
        <v>0.2</v>
      </c>
      <c r="H32" s="48">
        <v>1.3</v>
      </c>
      <c r="I32" s="48">
        <v>1.2</v>
      </c>
      <c r="J32" s="48">
        <v>2</v>
      </c>
      <c r="K32" s="44">
        <v>42283.708333333336</v>
      </c>
      <c r="L32" s="43">
        <v>119055.6948</v>
      </c>
      <c r="M32" s="43">
        <v>761744.13809999998</v>
      </c>
      <c r="N32" s="43">
        <v>984510.49399999995</v>
      </c>
      <c r="O32" s="43">
        <v>187634.27239999999</v>
      </c>
      <c r="P32" s="43">
        <v>136730.86170000001</v>
      </c>
      <c r="Q32" s="43">
        <v>54513.439180000001</v>
      </c>
      <c r="R32" s="43">
        <v>133395.66990000001</v>
      </c>
      <c r="S32" s="34">
        <v>50923.186111450203</v>
      </c>
    </row>
    <row r="33" spans="1:19">
      <c r="A33" s="52">
        <v>42283</v>
      </c>
      <c r="B33" s="46">
        <v>0.2</v>
      </c>
      <c r="C33" s="57">
        <v>2.5</v>
      </c>
      <c r="D33" s="46" t="s">
        <v>94</v>
      </c>
      <c r="E33" s="46">
        <v>0.3</v>
      </c>
      <c r="F33" s="46">
        <v>0.2</v>
      </c>
      <c r="G33" s="46">
        <v>0.2</v>
      </c>
      <c r="H33" s="46">
        <v>0.4</v>
      </c>
      <c r="I33" s="46">
        <v>1.4</v>
      </c>
      <c r="J33" s="46">
        <v>1.6</v>
      </c>
      <c r="K33" s="44">
        <v>42283.791666666664</v>
      </c>
      <c r="L33" s="43">
        <v>145710.6966</v>
      </c>
      <c r="M33" s="43">
        <v>635641.87950000004</v>
      </c>
      <c r="N33" s="43">
        <v>891313.94979999994</v>
      </c>
      <c r="O33" s="43">
        <v>394846.19179999997</v>
      </c>
      <c r="P33" s="43">
        <v>302057.22659999999</v>
      </c>
      <c r="Q33" s="43">
        <v>65449.158100000001</v>
      </c>
      <c r="R33" s="43">
        <v>130758.87910000001</v>
      </c>
      <c r="S33" s="34">
        <v>57442.898941040003</v>
      </c>
    </row>
    <row r="34" spans="1:19">
      <c r="A34" s="52">
        <v>42283</v>
      </c>
      <c r="B34" s="46">
        <v>0.4</v>
      </c>
      <c r="C34" s="57">
        <v>2.2999999999999998</v>
      </c>
      <c r="D34" s="46">
        <v>0.4</v>
      </c>
      <c r="E34" s="46">
        <v>0.1</v>
      </c>
      <c r="F34" s="46">
        <v>0.3</v>
      </c>
      <c r="G34" s="46">
        <v>0.3</v>
      </c>
      <c r="H34" s="46">
        <v>0.8</v>
      </c>
      <c r="I34" s="46">
        <v>1.6</v>
      </c>
      <c r="J34" s="46">
        <v>1.9</v>
      </c>
      <c r="K34" s="44">
        <v>42283.875</v>
      </c>
      <c r="L34" s="43">
        <v>156920.5055</v>
      </c>
      <c r="M34" s="43">
        <v>748278.78110000002</v>
      </c>
      <c r="N34" s="43">
        <v>972328.14789999998</v>
      </c>
      <c r="O34" s="43">
        <v>379090.54070000001</v>
      </c>
      <c r="P34" s="43">
        <v>288737.96539999999</v>
      </c>
      <c r="Q34" s="43">
        <v>66280.51758</v>
      </c>
      <c r="R34" s="43">
        <v>181707.10370000001</v>
      </c>
      <c r="S34" s="34">
        <v>57037.263107299797</v>
      </c>
    </row>
    <row r="35" spans="1:19">
      <c r="A35" s="52">
        <v>42283</v>
      </c>
      <c r="B35" s="46">
        <v>0.5</v>
      </c>
      <c r="C35" s="57">
        <v>2.2000000000000002</v>
      </c>
      <c r="D35" s="46">
        <v>0.4</v>
      </c>
      <c r="E35" s="46">
        <v>0.7</v>
      </c>
      <c r="F35" s="46">
        <v>0.4</v>
      </c>
      <c r="G35" s="46">
        <v>0.3</v>
      </c>
      <c r="H35" s="46">
        <v>0.6</v>
      </c>
      <c r="I35" s="46">
        <v>1.4</v>
      </c>
      <c r="J35" s="46">
        <v>1.9</v>
      </c>
      <c r="K35" s="44">
        <v>42283.958333333336</v>
      </c>
      <c r="L35" s="43">
        <v>177746.63889999999</v>
      </c>
      <c r="M35" s="43">
        <v>807288.18629999994</v>
      </c>
      <c r="N35" s="43">
        <v>1145997.3899999999</v>
      </c>
      <c r="O35" s="43">
        <v>430364.34860000003</v>
      </c>
      <c r="P35" s="43">
        <v>334714.45079999999</v>
      </c>
      <c r="Q35" s="43">
        <v>86505.46875</v>
      </c>
      <c r="R35" s="43">
        <v>182765.37549999999</v>
      </c>
      <c r="S35" s="34">
        <v>65980.405426025405</v>
      </c>
    </row>
    <row r="36" spans="1:19">
      <c r="A36" s="52">
        <v>42284</v>
      </c>
      <c r="B36" s="46">
        <v>0.5</v>
      </c>
      <c r="C36" s="57">
        <v>1.7</v>
      </c>
      <c r="D36" s="46">
        <v>0.4</v>
      </c>
      <c r="E36" s="46">
        <v>0.6</v>
      </c>
      <c r="F36" s="46">
        <v>0.4</v>
      </c>
      <c r="G36" s="46">
        <v>0.3</v>
      </c>
      <c r="H36" s="46">
        <v>1.1000000000000001</v>
      </c>
      <c r="I36" s="46">
        <v>1.5</v>
      </c>
      <c r="J36" s="46">
        <v>2.2000000000000002</v>
      </c>
      <c r="K36" s="44">
        <v>42284.041666666664</v>
      </c>
      <c r="L36" s="43">
        <v>123731.39019999999</v>
      </c>
      <c r="M36" s="43">
        <v>665879.18299999996</v>
      </c>
      <c r="N36" s="43">
        <v>889428.10880000005</v>
      </c>
      <c r="O36" s="43">
        <v>289598.18459999998</v>
      </c>
      <c r="P36" s="43">
        <v>230036.8401</v>
      </c>
      <c r="Q36" s="43">
        <v>56925.439449999998</v>
      </c>
      <c r="R36" s="43">
        <v>183480.21470000001</v>
      </c>
      <c r="S36" s="34">
        <v>46997.286987304702</v>
      </c>
    </row>
    <row r="37" spans="1:19">
      <c r="A37" s="52">
        <v>42284</v>
      </c>
      <c r="B37" s="46">
        <v>0.3</v>
      </c>
      <c r="C37" s="57">
        <v>0.6</v>
      </c>
      <c r="D37" s="46">
        <v>0.1</v>
      </c>
      <c r="E37" s="46">
        <v>0.6</v>
      </c>
      <c r="F37" s="46">
        <v>0.4</v>
      </c>
      <c r="G37" s="47">
        <v>1</v>
      </c>
      <c r="H37" s="46">
        <v>0.8</v>
      </c>
      <c r="I37" s="46">
        <v>1.1000000000000001</v>
      </c>
      <c r="J37" s="46">
        <v>1.9</v>
      </c>
      <c r="K37" s="44">
        <v>42284.125</v>
      </c>
      <c r="L37" s="43">
        <v>79332.921700000006</v>
      </c>
      <c r="M37" s="43">
        <v>530995.91189999995</v>
      </c>
      <c r="N37" s="43">
        <v>691248.03509999998</v>
      </c>
      <c r="O37" s="43">
        <v>181462.53260000001</v>
      </c>
      <c r="P37" s="43">
        <v>151666.6992</v>
      </c>
      <c r="Q37" s="43">
        <v>37556.433109999998</v>
      </c>
      <c r="R37" s="43">
        <v>170281.8615</v>
      </c>
      <c r="S37" s="34">
        <v>35214.196014404297</v>
      </c>
    </row>
    <row r="38" spans="1:19">
      <c r="A38" s="52">
        <v>42284</v>
      </c>
      <c r="B38" s="46">
        <v>0.3</v>
      </c>
      <c r="C38" s="57">
        <v>0.5</v>
      </c>
      <c r="D38" s="46">
        <v>0.2</v>
      </c>
      <c r="E38" s="46">
        <v>0.2</v>
      </c>
      <c r="F38" s="46">
        <v>0.4</v>
      </c>
      <c r="G38" s="46">
        <v>0.9</v>
      </c>
      <c r="H38" s="46">
        <v>0.6</v>
      </c>
      <c r="I38" s="46">
        <v>2.2999999999999998</v>
      </c>
      <c r="J38" s="46">
        <v>1.6</v>
      </c>
      <c r="K38" s="44">
        <v>42284.208333333336</v>
      </c>
      <c r="L38" s="43">
        <v>74901.570800000001</v>
      </c>
      <c r="M38" s="43">
        <v>307008.35869999998</v>
      </c>
      <c r="N38" s="43">
        <v>449225.58319999999</v>
      </c>
      <c r="O38" s="43">
        <v>96552.608300000007</v>
      </c>
      <c r="P38" s="43">
        <v>73164.197159999996</v>
      </c>
      <c r="Q38" s="43">
        <v>36642.810060000003</v>
      </c>
      <c r="R38" s="43">
        <v>98966.99295</v>
      </c>
      <c r="S38" s="34">
        <v>24901.274871826201</v>
      </c>
    </row>
    <row r="39" spans="1:19">
      <c r="A39" s="52">
        <v>42284</v>
      </c>
      <c r="B39" s="46">
        <v>0.4</v>
      </c>
      <c r="C39" s="57">
        <v>1.4</v>
      </c>
      <c r="D39" s="46">
        <v>0.2</v>
      </c>
      <c r="E39" s="46">
        <v>0.4</v>
      </c>
      <c r="F39" s="46">
        <v>0.2</v>
      </c>
      <c r="G39" s="46">
        <v>1.1000000000000001</v>
      </c>
      <c r="H39" s="46">
        <v>0.4</v>
      </c>
      <c r="I39" s="46">
        <v>0.9</v>
      </c>
      <c r="J39" s="46">
        <v>1.8</v>
      </c>
      <c r="K39" s="44">
        <v>42284.291666666664</v>
      </c>
      <c r="L39" s="43">
        <v>117872.51360000001</v>
      </c>
      <c r="M39" s="43">
        <v>500796.7403</v>
      </c>
      <c r="N39" s="43">
        <v>675627.01379999996</v>
      </c>
      <c r="O39" s="43">
        <v>207333.09</v>
      </c>
      <c r="P39" s="43">
        <v>155994.6053</v>
      </c>
      <c r="Q39" s="43">
        <v>54006.591800000002</v>
      </c>
      <c r="R39" s="43">
        <v>48121.590040000003</v>
      </c>
      <c r="S39" s="34">
        <v>37672.150039672902</v>
      </c>
    </row>
    <row r="40" spans="1:19">
      <c r="A40" s="53">
        <v>42284</v>
      </c>
      <c r="B40" s="49">
        <v>0.4</v>
      </c>
      <c r="C40" s="59">
        <v>2.4</v>
      </c>
      <c r="D40" s="49">
        <v>0.3</v>
      </c>
      <c r="E40" s="49">
        <v>0.3</v>
      </c>
      <c r="F40" s="49">
        <v>0.3</v>
      </c>
      <c r="G40" s="49">
        <v>0.2</v>
      </c>
      <c r="H40" s="49">
        <v>0.9</v>
      </c>
      <c r="I40" s="49">
        <v>1.2</v>
      </c>
      <c r="J40" s="69">
        <v>0.8</v>
      </c>
      <c r="K40" s="44">
        <v>42284.375</v>
      </c>
      <c r="L40" s="43">
        <v>145607.1024</v>
      </c>
      <c r="M40" s="43">
        <v>622327.76809999999</v>
      </c>
      <c r="N40" s="43">
        <v>848544.00269999995</v>
      </c>
      <c r="O40" s="43">
        <v>322932.62329999998</v>
      </c>
      <c r="P40" s="43">
        <v>254940.11309999999</v>
      </c>
      <c r="Q40" s="43">
        <v>65628.588870000007</v>
      </c>
      <c r="R40" s="43">
        <v>131497.18090000001</v>
      </c>
      <c r="S40" s="34">
        <v>48989.533996582002</v>
      </c>
    </row>
    <row r="41" spans="1:19">
      <c r="A41" s="52">
        <v>42284</v>
      </c>
      <c r="B41" s="46">
        <v>0.4</v>
      </c>
      <c r="C41" s="57">
        <v>3.2</v>
      </c>
      <c r="D41" s="46">
        <v>0.8</v>
      </c>
      <c r="E41" s="46">
        <v>0.4</v>
      </c>
      <c r="F41" s="46">
        <v>0.3</v>
      </c>
      <c r="G41" s="46">
        <v>0.4</v>
      </c>
      <c r="H41" s="46">
        <v>0.4</v>
      </c>
      <c r="I41" s="46">
        <v>1.5</v>
      </c>
      <c r="J41" s="46">
        <v>0.5</v>
      </c>
      <c r="K41" s="65"/>
    </row>
    <row r="42" spans="1:19">
      <c r="A42" s="52">
        <v>42284</v>
      </c>
      <c r="B42" s="46">
        <v>0.6</v>
      </c>
      <c r="C42" s="57">
        <v>2.7</v>
      </c>
      <c r="D42" s="46">
        <v>0.7</v>
      </c>
      <c r="E42" s="46">
        <v>1.1000000000000001</v>
      </c>
      <c r="F42" s="46">
        <v>0.1</v>
      </c>
      <c r="G42" s="46">
        <v>0.2</v>
      </c>
      <c r="H42" s="46">
        <v>0.7</v>
      </c>
      <c r="I42" s="46">
        <v>1.8</v>
      </c>
      <c r="J42" s="46">
        <v>1.3</v>
      </c>
      <c r="K42" s="65"/>
    </row>
    <row r="43" spans="1:19">
      <c r="A43" s="52">
        <v>42284</v>
      </c>
      <c r="B43" s="46">
        <v>0.6</v>
      </c>
      <c r="C43" s="57">
        <v>4.5</v>
      </c>
      <c r="D43" s="47">
        <v>1</v>
      </c>
      <c r="E43" s="46">
        <v>0.8</v>
      </c>
      <c r="F43" s="46">
        <v>0.2</v>
      </c>
      <c r="G43" s="46">
        <v>0.8</v>
      </c>
      <c r="H43" s="46">
        <v>1.5</v>
      </c>
      <c r="I43" s="47">
        <v>2</v>
      </c>
      <c r="J43" s="46">
        <v>1.7</v>
      </c>
      <c r="K43" s="65"/>
    </row>
    <row r="44" spans="1:19">
      <c r="A44" s="52">
        <v>42284</v>
      </c>
      <c r="B44" s="48">
        <v>0.5</v>
      </c>
      <c r="C44" s="58">
        <v>4.5</v>
      </c>
      <c r="D44" s="48">
        <v>1.1000000000000001</v>
      </c>
      <c r="E44" s="48">
        <v>0.7</v>
      </c>
      <c r="F44" s="48">
        <v>0.3</v>
      </c>
      <c r="G44" s="48">
        <v>0.4</v>
      </c>
      <c r="H44" s="48">
        <v>1.2</v>
      </c>
      <c r="I44" s="48">
        <v>1.5</v>
      </c>
      <c r="J44" s="48">
        <v>1.8</v>
      </c>
      <c r="K44" s="67"/>
    </row>
    <row r="45" spans="1:19">
      <c r="A45" s="52">
        <v>42284</v>
      </c>
      <c r="B45" s="46">
        <v>0.4</v>
      </c>
      <c r="C45" s="57">
        <v>2.2000000000000002</v>
      </c>
      <c r="D45" s="47">
        <v>1</v>
      </c>
      <c r="E45" s="46">
        <v>0.4</v>
      </c>
      <c r="F45" s="46">
        <v>0.1</v>
      </c>
      <c r="G45" s="46">
        <v>0.6</v>
      </c>
      <c r="H45" s="46">
        <v>0.6</v>
      </c>
      <c r="I45" s="46">
        <v>0.8</v>
      </c>
      <c r="J45" s="46">
        <v>3.1</v>
      </c>
      <c r="K45" s="65"/>
    </row>
    <row r="46" spans="1:19">
      <c r="A46" s="52">
        <v>42284</v>
      </c>
      <c r="B46" s="46">
        <v>0.3</v>
      </c>
      <c r="C46" s="57">
        <v>1.2</v>
      </c>
      <c r="D46" s="46">
        <v>0.4</v>
      </c>
      <c r="E46" s="46">
        <v>0.9</v>
      </c>
      <c r="F46" s="46">
        <v>0.9</v>
      </c>
      <c r="G46" s="46">
        <v>0.4</v>
      </c>
      <c r="H46" s="47">
        <v>1</v>
      </c>
      <c r="I46" s="46">
        <v>1.2</v>
      </c>
      <c r="J46" s="46">
        <v>2.7</v>
      </c>
      <c r="K46" s="65"/>
    </row>
    <row r="47" spans="1:19">
      <c r="A47" s="52">
        <v>42284</v>
      </c>
      <c r="B47" s="46">
        <v>0.3</v>
      </c>
      <c r="C47" s="57">
        <v>1.7</v>
      </c>
      <c r="D47" s="46">
        <v>0.7</v>
      </c>
      <c r="E47" s="46">
        <v>0.7</v>
      </c>
      <c r="F47" s="46">
        <v>0.4</v>
      </c>
      <c r="G47" s="46">
        <v>0.2</v>
      </c>
      <c r="H47" s="46">
        <v>0.9</v>
      </c>
      <c r="I47" s="46">
        <v>0.9</v>
      </c>
      <c r="J47" s="46">
        <v>1.2</v>
      </c>
      <c r="K47" s="65"/>
    </row>
    <row r="48" spans="1:19">
      <c r="A48" s="52">
        <v>42285</v>
      </c>
      <c r="B48" s="46">
        <v>0.3</v>
      </c>
      <c r="C48" s="57">
        <v>1.4</v>
      </c>
      <c r="D48" s="46">
        <v>0.3</v>
      </c>
      <c r="E48" s="46">
        <v>0.7</v>
      </c>
      <c r="F48" s="46">
        <v>0.7</v>
      </c>
      <c r="G48" s="46">
        <v>0.4</v>
      </c>
      <c r="H48" s="46">
        <v>0.7</v>
      </c>
      <c r="I48" s="46">
        <v>1.1000000000000001</v>
      </c>
      <c r="J48" s="46">
        <v>1.6</v>
      </c>
      <c r="K48" s="65"/>
    </row>
    <row r="49" spans="1:11">
      <c r="A49" s="52">
        <v>42285</v>
      </c>
      <c r="B49" s="46">
        <v>0.3</v>
      </c>
      <c r="C49" s="57">
        <v>1.3</v>
      </c>
      <c r="D49" s="46">
        <v>0.3</v>
      </c>
      <c r="E49" s="46">
        <v>0.5</v>
      </c>
      <c r="F49" s="46">
        <v>1.5</v>
      </c>
      <c r="G49" s="47">
        <v>0.1</v>
      </c>
      <c r="H49" s="46">
        <v>0.6</v>
      </c>
      <c r="I49" s="46">
        <v>3.9</v>
      </c>
      <c r="J49" s="46">
        <v>2.1</v>
      </c>
      <c r="K49" s="65"/>
    </row>
    <row r="50" spans="1:11">
      <c r="A50" s="52">
        <v>42285</v>
      </c>
      <c r="B50" s="46">
        <v>0.2</v>
      </c>
      <c r="C50" s="57">
        <v>1.4</v>
      </c>
      <c r="D50" s="46">
        <v>0.5</v>
      </c>
      <c r="E50" s="46">
        <v>0.3</v>
      </c>
      <c r="F50" s="46">
        <v>1.2</v>
      </c>
      <c r="G50" s="46">
        <v>0.2</v>
      </c>
      <c r="H50" s="46">
        <v>0.9</v>
      </c>
      <c r="I50" s="46">
        <v>3.2</v>
      </c>
      <c r="J50" s="46">
        <v>1.2</v>
      </c>
      <c r="K50" s="65"/>
    </row>
    <row r="51" spans="1:11">
      <c r="A51" s="53">
        <v>42285</v>
      </c>
      <c r="B51" s="46">
        <v>0.3</v>
      </c>
      <c r="C51" s="57">
        <v>4.7</v>
      </c>
      <c r="D51" s="46">
        <v>0.3</v>
      </c>
      <c r="E51" s="46">
        <v>0.4</v>
      </c>
      <c r="F51" s="46">
        <v>0.6</v>
      </c>
      <c r="G51" s="46">
        <v>0.3</v>
      </c>
      <c r="H51" s="49">
        <v>1.1000000000000001</v>
      </c>
      <c r="I51" s="46">
        <v>2.1</v>
      </c>
      <c r="J51" s="47">
        <v>2.5</v>
      </c>
      <c r="K51" s="66"/>
    </row>
    <row r="52" spans="1:11">
      <c r="A52" s="52">
        <v>42285</v>
      </c>
      <c r="B52" s="49">
        <v>0.5</v>
      </c>
      <c r="C52" s="57">
        <v>1.6</v>
      </c>
      <c r="D52" s="46">
        <v>0.2</v>
      </c>
      <c r="E52" s="46">
        <v>0.6</v>
      </c>
      <c r="F52" s="46">
        <v>0.2</v>
      </c>
      <c r="G52" s="46">
        <v>0.3</v>
      </c>
      <c r="H52" s="46">
        <v>0.6</v>
      </c>
      <c r="I52" s="46">
        <v>1.6</v>
      </c>
      <c r="J52" s="47">
        <v>1.9</v>
      </c>
      <c r="K52" s="66"/>
    </row>
    <row r="53" spans="1:11">
      <c r="A53" s="52">
        <v>42285</v>
      </c>
      <c r="B53" s="46">
        <v>0.3</v>
      </c>
      <c r="C53" s="57">
        <v>3.2</v>
      </c>
      <c r="D53" s="46">
        <v>0.4</v>
      </c>
      <c r="E53" s="46">
        <v>0.5</v>
      </c>
      <c r="F53" s="46" t="s">
        <v>94</v>
      </c>
      <c r="G53" s="46">
        <v>0.2</v>
      </c>
      <c r="H53" s="46">
        <v>1.2</v>
      </c>
      <c r="I53" s="46">
        <v>1.7</v>
      </c>
      <c r="J53" s="46">
        <v>0.7</v>
      </c>
      <c r="K53" s="65"/>
    </row>
    <row r="54" spans="1:11">
      <c r="A54" s="52">
        <v>42285</v>
      </c>
      <c r="B54" s="46">
        <v>0.1</v>
      </c>
      <c r="C54" s="57">
        <v>3.9</v>
      </c>
      <c r="D54" s="46">
        <v>0.4</v>
      </c>
      <c r="E54" s="46">
        <v>0.9</v>
      </c>
      <c r="F54" s="46">
        <v>5.5</v>
      </c>
      <c r="G54" s="46" t="s">
        <v>94</v>
      </c>
      <c r="H54" s="47">
        <v>1</v>
      </c>
      <c r="I54" s="47">
        <v>2</v>
      </c>
      <c r="J54" s="46">
        <v>1.5</v>
      </c>
      <c r="K54" s="65"/>
    </row>
    <row r="55" spans="1:11">
      <c r="A55" s="52">
        <v>42285</v>
      </c>
      <c r="B55" s="46">
        <v>0.5</v>
      </c>
      <c r="C55" s="57">
        <v>1.8</v>
      </c>
      <c r="D55" s="46">
        <v>0.6</v>
      </c>
      <c r="E55" s="47">
        <v>1</v>
      </c>
      <c r="F55" s="46">
        <v>0.3</v>
      </c>
      <c r="G55" s="46">
        <v>0.2</v>
      </c>
      <c r="H55" s="46">
        <v>1.1000000000000001</v>
      </c>
      <c r="I55" s="47">
        <v>2</v>
      </c>
      <c r="J55" s="46">
        <v>2.2000000000000002</v>
      </c>
      <c r="K55" s="65"/>
    </row>
    <row r="56" spans="1:11">
      <c r="A56" s="52">
        <v>42285</v>
      </c>
      <c r="B56" s="48">
        <v>0.4</v>
      </c>
      <c r="C56" s="58">
        <v>2.6</v>
      </c>
      <c r="D56" s="48">
        <v>0.4</v>
      </c>
      <c r="E56" s="48">
        <v>1.6</v>
      </c>
      <c r="F56" s="48">
        <v>0.2</v>
      </c>
      <c r="G56" s="48">
        <v>0.5</v>
      </c>
      <c r="H56" s="48">
        <v>1.5</v>
      </c>
      <c r="I56" s="48">
        <v>1.9</v>
      </c>
      <c r="J56" s="48">
        <v>2.9</v>
      </c>
      <c r="K56" s="67"/>
    </row>
    <row r="57" spans="1:11">
      <c r="A57" s="52">
        <v>42285</v>
      </c>
      <c r="B57" s="46">
        <v>0.3</v>
      </c>
      <c r="C57" s="57">
        <v>1.9</v>
      </c>
      <c r="D57" s="46">
        <v>0.9</v>
      </c>
      <c r="E57" s="46">
        <v>1.3</v>
      </c>
      <c r="F57" s="46">
        <v>0.2</v>
      </c>
      <c r="G57" s="46" t="s">
        <v>94</v>
      </c>
      <c r="H57" s="46">
        <v>0.7</v>
      </c>
      <c r="I57" s="46">
        <v>1.2</v>
      </c>
      <c r="J57" s="46">
        <v>2.6</v>
      </c>
      <c r="K57" s="65"/>
    </row>
    <row r="58" spans="1:11">
      <c r="A58" s="52">
        <v>42285</v>
      </c>
      <c r="B58" s="46">
        <v>0.5</v>
      </c>
      <c r="C58" s="57">
        <v>2.4</v>
      </c>
      <c r="D58" s="46">
        <v>0.2</v>
      </c>
      <c r="E58" s="46">
        <v>1.2</v>
      </c>
      <c r="F58" s="46">
        <v>0.1</v>
      </c>
      <c r="G58" s="46">
        <v>0.3</v>
      </c>
      <c r="H58" s="47">
        <v>1</v>
      </c>
      <c r="I58" s="46">
        <v>1.4</v>
      </c>
      <c r="J58" s="46">
        <v>1.9</v>
      </c>
      <c r="K58" s="65"/>
    </row>
    <row r="59" spans="1:11">
      <c r="A59" s="52">
        <v>42285</v>
      </c>
      <c r="B59" s="46">
        <v>0.4</v>
      </c>
      <c r="C59" s="57">
        <v>3.2</v>
      </c>
      <c r="D59" s="46">
        <v>0.7</v>
      </c>
      <c r="E59" s="47">
        <v>1</v>
      </c>
      <c r="F59" s="46">
        <v>0.2</v>
      </c>
      <c r="G59" s="46">
        <v>0.1</v>
      </c>
      <c r="H59" s="46">
        <v>0.8</v>
      </c>
      <c r="I59" s="46">
        <v>1.1000000000000001</v>
      </c>
      <c r="J59" s="46">
        <v>1.6</v>
      </c>
      <c r="K59" s="65"/>
    </row>
    <row r="60" spans="1:11">
      <c r="A60" s="52">
        <v>42286</v>
      </c>
      <c r="B60" s="46">
        <v>0.6</v>
      </c>
      <c r="C60" s="57">
        <v>1.5</v>
      </c>
      <c r="D60" s="46">
        <v>0.4</v>
      </c>
      <c r="E60" s="47">
        <v>1</v>
      </c>
      <c r="F60" s="46">
        <v>0.1</v>
      </c>
      <c r="G60" s="46">
        <v>0.1</v>
      </c>
      <c r="H60" s="47">
        <v>1.2</v>
      </c>
      <c r="I60" s="46">
        <v>1.1000000000000001</v>
      </c>
      <c r="J60" s="46">
        <v>2.4</v>
      </c>
      <c r="K60" s="65"/>
    </row>
    <row r="61" spans="1:11">
      <c r="A61" s="52">
        <v>42286</v>
      </c>
      <c r="B61" s="46">
        <v>0.7</v>
      </c>
      <c r="C61" s="57">
        <v>4.3</v>
      </c>
      <c r="D61" s="46">
        <v>0.2</v>
      </c>
      <c r="E61" s="46">
        <v>1.2</v>
      </c>
      <c r="F61" s="46">
        <v>0.2</v>
      </c>
      <c r="G61" s="47">
        <v>0.4</v>
      </c>
      <c r="H61" s="47">
        <v>1</v>
      </c>
      <c r="I61" s="46">
        <v>2.4</v>
      </c>
      <c r="J61" s="46">
        <v>1.9</v>
      </c>
      <c r="K61" s="65"/>
    </row>
    <row r="62" spans="1:11">
      <c r="A62" s="52">
        <v>42286</v>
      </c>
      <c r="B62" s="46">
        <v>0.5</v>
      </c>
      <c r="C62" s="57">
        <v>4.9000000000000004</v>
      </c>
      <c r="D62" s="46">
        <v>0.3</v>
      </c>
      <c r="E62" s="46">
        <v>0.3</v>
      </c>
      <c r="F62" s="46">
        <v>0.2</v>
      </c>
      <c r="G62" s="46">
        <v>0.1</v>
      </c>
      <c r="H62" s="46">
        <v>0.9</v>
      </c>
      <c r="I62" s="46">
        <v>2.2000000000000002</v>
      </c>
      <c r="J62" s="46">
        <v>1.9</v>
      </c>
      <c r="K62" s="65"/>
    </row>
    <row r="63" spans="1:11">
      <c r="A63" s="52">
        <v>42286</v>
      </c>
      <c r="B63" s="46">
        <v>0.7</v>
      </c>
      <c r="C63" s="57">
        <v>5.3</v>
      </c>
      <c r="D63" s="46">
        <v>0.2</v>
      </c>
      <c r="E63" s="46">
        <v>1.4</v>
      </c>
      <c r="F63" s="46">
        <v>0.5</v>
      </c>
      <c r="G63" s="46">
        <v>0.1</v>
      </c>
      <c r="H63" s="46">
        <v>1.5</v>
      </c>
      <c r="I63" s="46">
        <v>2.6</v>
      </c>
      <c r="J63" s="47">
        <v>2.9</v>
      </c>
      <c r="K63" s="66"/>
    </row>
    <row r="64" spans="1:11">
      <c r="A64" s="52">
        <v>42286</v>
      </c>
      <c r="B64" s="46">
        <v>0.8</v>
      </c>
      <c r="C64" s="57">
        <v>1.6</v>
      </c>
      <c r="D64" s="46">
        <v>0.5</v>
      </c>
      <c r="E64" s="46">
        <v>1.1000000000000001</v>
      </c>
      <c r="F64" s="46">
        <v>0.2</v>
      </c>
      <c r="G64" s="46">
        <v>0.2</v>
      </c>
      <c r="H64" s="46">
        <v>0.6</v>
      </c>
      <c r="I64" s="46">
        <v>0.9</v>
      </c>
      <c r="J64" s="47">
        <v>1.2</v>
      </c>
      <c r="K64" s="66"/>
    </row>
    <row r="65" spans="1:11">
      <c r="A65" s="52">
        <v>42286</v>
      </c>
      <c r="B65" s="46">
        <v>0.4</v>
      </c>
      <c r="C65" s="57">
        <v>0.9</v>
      </c>
      <c r="D65" s="46">
        <v>0.5</v>
      </c>
      <c r="E65" s="46">
        <v>0.7</v>
      </c>
      <c r="F65" s="46">
        <v>0.2</v>
      </c>
      <c r="G65" s="46">
        <v>0.4</v>
      </c>
      <c r="H65" s="46">
        <v>1.1000000000000001</v>
      </c>
      <c r="I65" s="46">
        <v>1.4</v>
      </c>
      <c r="J65" s="47">
        <v>1.4</v>
      </c>
      <c r="K65" s="66"/>
    </row>
    <row r="66" spans="1:11">
      <c r="A66" s="52">
        <v>42286</v>
      </c>
      <c r="B66" s="46">
        <v>0.3</v>
      </c>
      <c r="C66" s="57">
        <v>2.2000000000000002</v>
      </c>
      <c r="D66" s="46">
        <v>0.3</v>
      </c>
      <c r="E66" s="46">
        <v>0.7</v>
      </c>
      <c r="F66" s="46">
        <v>0.1</v>
      </c>
      <c r="G66" s="46" t="s">
        <v>94</v>
      </c>
      <c r="H66" s="46">
        <v>1.2</v>
      </c>
      <c r="I66" s="46">
        <v>2.2000000000000002</v>
      </c>
      <c r="J66" s="47">
        <v>0.6</v>
      </c>
      <c r="K66" s="66"/>
    </row>
    <row r="67" spans="1:11">
      <c r="A67" s="52">
        <v>42286</v>
      </c>
      <c r="B67" s="46">
        <v>0.6</v>
      </c>
      <c r="C67" s="57">
        <v>2.4</v>
      </c>
      <c r="D67" s="46">
        <v>0.5</v>
      </c>
      <c r="E67" s="46">
        <v>0.7</v>
      </c>
      <c r="F67" s="46">
        <v>0.3</v>
      </c>
      <c r="G67" s="46">
        <v>0.7</v>
      </c>
      <c r="H67" s="47">
        <v>2</v>
      </c>
      <c r="I67" s="47">
        <v>2</v>
      </c>
      <c r="J67" s="47">
        <v>2</v>
      </c>
      <c r="K67" s="66"/>
    </row>
    <row r="68" spans="1:11">
      <c r="A68" s="52">
        <v>42286</v>
      </c>
      <c r="B68" s="48">
        <v>0.8</v>
      </c>
      <c r="C68" s="58">
        <v>2.4</v>
      </c>
      <c r="D68" s="48">
        <v>0.6</v>
      </c>
      <c r="E68" s="48">
        <v>1.4</v>
      </c>
      <c r="F68" s="48">
        <v>0.2</v>
      </c>
      <c r="G68" s="48">
        <v>0.3</v>
      </c>
      <c r="H68" s="48">
        <v>1.5</v>
      </c>
      <c r="I68" s="48">
        <v>2.2000000000000002</v>
      </c>
      <c r="J68" s="47">
        <v>1.5</v>
      </c>
      <c r="K68" s="66"/>
    </row>
    <row r="69" spans="1:11">
      <c r="A69" s="52">
        <v>42286</v>
      </c>
      <c r="B69" s="46">
        <v>0.7</v>
      </c>
      <c r="C69" s="57">
        <v>6.9</v>
      </c>
      <c r="D69" s="46">
        <v>0.4</v>
      </c>
      <c r="E69" s="46">
        <v>0.5</v>
      </c>
      <c r="F69" s="46">
        <v>0.2</v>
      </c>
      <c r="G69" s="46">
        <v>0.3</v>
      </c>
      <c r="H69" s="46">
        <v>1.1000000000000001</v>
      </c>
      <c r="I69" s="46">
        <v>1.9</v>
      </c>
      <c r="J69" s="47">
        <v>2.6</v>
      </c>
      <c r="K69" s="66"/>
    </row>
    <row r="70" spans="1:11">
      <c r="A70" s="52">
        <v>42286</v>
      </c>
      <c r="B70" s="46">
        <v>0.4</v>
      </c>
      <c r="C70" s="60">
        <v>4.2</v>
      </c>
      <c r="D70" s="46">
        <v>0.7</v>
      </c>
      <c r="E70" s="46">
        <v>0.8</v>
      </c>
      <c r="F70" s="46">
        <v>0.5</v>
      </c>
      <c r="G70" s="46">
        <v>0.6</v>
      </c>
      <c r="H70" s="46">
        <v>0.9</v>
      </c>
      <c r="I70" s="47">
        <v>2</v>
      </c>
      <c r="J70" s="47">
        <v>3.8</v>
      </c>
      <c r="K70" s="66"/>
    </row>
    <row r="71" spans="1:11">
      <c r="A71" s="52">
        <v>42286</v>
      </c>
      <c r="B71" s="46">
        <v>0.3</v>
      </c>
      <c r="C71" s="57">
        <v>2.5</v>
      </c>
      <c r="D71" s="46">
        <v>0.7</v>
      </c>
      <c r="E71" s="46">
        <v>1.1000000000000001</v>
      </c>
      <c r="F71" s="46">
        <v>0.5</v>
      </c>
      <c r="G71" s="46">
        <v>0.3</v>
      </c>
      <c r="H71" s="46">
        <v>0.6</v>
      </c>
      <c r="I71" s="46">
        <v>1.2</v>
      </c>
      <c r="J71" s="47">
        <v>5.3</v>
      </c>
      <c r="K71" s="66"/>
    </row>
    <row r="72" spans="1:11">
      <c r="A72" s="52">
        <v>42287</v>
      </c>
      <c r="B72" s="46">
        <v>0.4</v>
      </c>
      <c r="C72" s="57">
        <v>3.2</v>
      </c>
      <c r="D72" s="46">
        <v>0.2</v>
      </c>
      <c r="E72" s="47">
        <v>1</v>
      </c>
      <c r="F72" s="46">
        <v>0.2</v>
      </c>
      <c r="G72" s="46">
        <v>0.2</v>
      </c>
      <c r="H72" s="46">
        <v>0.6</v>
      </c>
      <c r="I72" s="46">
        <v>1.6</v>
      </c>
      <c r="J72" s="47">
        <v>2.2999999999999998</v>
      </c>
      <c r="K72" s="66"/>
    </row>
    <row r="73" spans="1:11">
      <c r="A73" s="52">
        <v>42287</v>
      </c>
      <c r="B73" s="46">
        <v>0.3</v>
      </c>
      <c r="C73" s="57">
        <v>5.8</v>
      </c>
      <c r="D73" s="46">
        <v>0.6</v>
      </c>
      <c r="E73" s="46">
        <v>1.1000000000000001</v>
      </c>
      <c r="F73" s="46">
        <v>0.5</v>
      </c>
      <c r="G73" s="47">
        <v>0.3</v>
      </c>
      <c r="H73" s="46">
        <v>1.3</v>
      </c>
      <c r="I73" s="46">
        <v>2.5</v>
      </c>
      <c r="J73" s="47">
        <v>1.8</v>
      </c>
      <c r="K73" s="66"/>
    </row>
    <row r="74" spans="1:11">
      <c r="A74" s="52">
        <v>42287</v>
      </c>
      <c r="B74" s="46">
        <v>0.4</v>
      </c>
      <c r="C74" s="57">
        <v>10</v>
      </c>
      <c r="D74" s="46">
        <v>0.5</v>
      </c>
      <c r="E74" s="46">
        <v>0.6</v>
      </c>
      <c r="F74" s="46">
        <v>0.5</v>
      </c>
      <c r="G74" s="46">
        <v>0.3</v>
      </c>
      <c r="H74" s="46">
        <v>0.4</v>
      </c>
      <c r="I74" s="46">
        <v>3.1</v>
      </c>
      <c r="J74" s="47">
        <v>1.5</v>
      </c>
      <c r="K74" s="66"/>
    </row>
    <row r="75" spans="1:11">
      <c r="A75" s="52">
        <v>42287</v>
      </c>
      <c r="B75" s="46">
        <v>0.5</v>
      </c>
      <c r="C75" s="57">
        <v>6.4</v>
      </c>
      <c r="D75" s="46">
        <v>0.5</v>
      </c>
      <c r="E75" s="46">
        <v>0.1</v>
      </c>
      <c r="F75" s="46">
        <v>0.4</v>
      </c>
      <c r="G75" s="46">
        <v>0.5</v>
      </c>
      <c r="H75" s="46">
        <v>0.9</v>
      </c>
      <c r="I75" s="46">
        <v>1.4</v>
      </c>
      <c r="J75" s="47">
        <v>2.2000000000000002</v>
      </c>
      <c r="K75" s="66"/>
    </row>
    <row r="76" spans="1:11">
      <c r="A76" s="54">
        <v>42287</v>
      </c>
      <c r="B76" s="50">
        <v>0.6</v>
      </c>
      <c r="C76" s="61">
        <v>0.7</v>
      </c>
      <c r="D76" s="50">
        <v>0.2</v>
      </c>
      <c r="E76" s="50">
        <v>1.2</v>
      </c>
      <c r="F76" s="50">
        <v>0.1</v>
      </c>
      <c r="G76" s="50">
        <v>0.1</v>
      </c>
      <c r="H76" s="50">
        <v>0.8</v>
      </c>
      <c r="I76" s="51">
        <v>1</v>
      </c>
      <c r="J76" s="64">
        <v>1.5</v>
      </c>
      <c r="K76" s="70"/>
    </row>
    <row r="77" spans="1:11">
      <c r="A77" s="54">
        <v>42287</v>
      </c>
      <c r="B77" s="50">
        <v>0.7</v>
      </c>
      <c r="C77" s="61">
        <v>1.6</v>
      </c>
      <c r="D77" s="50">
        <v>0.7</v>
      </c>
      <c r="E77" s="50">
        <v>0.8</v>
      </c>
      <c r="F77" s="50">
        <v>0.1</v>
      </c>
      <c r="G77" s="50">
        <v>0.5</v>
      </c>
      <c r="H77" s="50">
        <v>1.1000000000000001</v>
      </c>
      <c r="I77" s="51">
        <v>1.3</v>
      </c>
      <c r="J77" s="50">
        <v>1.6</v>
      </c>
      <c r="K77" s="71"/>
    </row>
    <row r="78" spans="1:11">
      <c r="A78" s="54">
        <v>42287</v>
      </c>
      <c r="B78" s="50">
        <v>0.7</v>
      </c>
      <c r="C78" s="61">
        <v>2.2999999999999998</v>
      </c>
      <c r="D78" s="50">
        <v>0.5</v>
      </c>
      <c r="E78" s="51">
        <v>1</v>
      </c>
      <c r="F78" s="50">
        <v>0.3</v>
      </c>
      <c r="G78" s="50">
        <v>0.4</v>
      </c>
      <c r="H78" s="50">
        <v>0.8</v>
      </c>
      <c r="I78" s="51">
        <v>1.5</v>
      </c>
      <c r="J78" s="50">
        <v>1.5</v>
      </c>
      <c r="K78" s="71"/>
    </row>
    <row r="79" spans="1:11">
      <c r="A79" s="54">
        <v>42287</v>
      </c>
      <c r="B79" s="50">
        <v>1.1000000000000001</v>
      </c>
      <c r="C79" s="61">
        <v>3.1</v>
      </c>
      <c r="D79" s="50">
        <v>0.8</v>
      </c>
      <c r="E79" s="50">
        <v>1.8</v>
      </c>
      <c r="F79" s="50">
        <v>0.5</v>
      </c>
      <c r="G79" s="50">
        <v>0.4</v>
      </c>
      <c r="H79" s="51">
        <v>4</v>
      </c>
      <c r="I79" s="51">
        <v>1.4</v>
      </c>
      <c r="J79" s="50">
        <v>2.1</v>
      </c>
      <c r="K79" s="71"/>
    </row>
    <row r="80" spans="1:11">
      <c r="A80" s="54">
        <v>42287</v>
      </c>
      <c r="B80" s="51">
        <v>0.8</v>
      </c>
      <c r="C80" s="62">
        <v>4.8</v>
      </c>
      <c r="D80" s="51">
        <v>0.8</v>
      </c>
      <c r="E80" s="51">
        <v>0.9</v>
      </c>
      <c r="F80" s="51">
        <v>0.4</v>
      </c>
      <c r="G80" s="51">
        <v>0.8</v>
      </c>
      <c r="H80" s="51">
        <v>2.8</v>
      </c>
      <c r="I80" s="51">
        <v>1.2</v>
      </c>
      <c r="J80" s="51">
        <v>2.6</v>
      </c>
      <c r="K80" s="68"/>
    </row>
    <row r="81" spans="1:11">
      <c r="A81" s="54">
        <v>42287</v>
      </c>
      <c r="B81" s="50">
        <v>0.5</v>
      </c>
      <c r="C81" s="61">
        <v>3.1</v>
      </c>
      <c r="D81" s="50">
        <v>0.9</v>
      </c>
      <c r="E81" s="50">
        <v>0.6</v>
      </c>
      <c r="F81" s="50">
        <v>0.4</v>
      </c>
      <c r="G81" s="50">
        <v>0.2</v>
      </c>
      <c r="H81" s="50">
        <v>0.9</v>
      </c>
      <c r="I81" s="51">
        <v>1.2</v>
      </c>
      <c r="J81" s="50">
        <v>2.1</v>
      </c>
      <c r="K81" s="71"/>
    </row>
    <row r="82" spans="1:11">
      <c r="A82" s="54">
        <v>42287</v>
      </c>
      <c r="B82" s="50">
        <v>0.5</v>
      </c>
      <c r="C82" s="61">
        <v>2.5</v>
      </c>
      <c r="D82" s="50">
        <v>0.3</v>
      </c>
      <c r="E82" s="50">
        <v>0.6</v>
      </c>
      <c r="F82" s="50">
        <v>0.6</v>
      </c>
      <c r="G82" s="50">
        <v>0.2</v>
      </c>
      <c r="H82" s="50">
        <v>1.6</v>
      </c>
      <c r="I82" s="51">
        <v>1.7</v>
      </c>
      <c r="J82" s="50">
        <v>1.9</v>
      </c>
      <c r="K82" s="71"/>
    </row>
    <row r="83" spans="1:11">
      <c r="A83" s="54">
        <v>42287</v>
      </c>
      <c r="B83" s="50">
        <v>0.4</v>
      </c>
      <c r="C83" s="61">
        <v>1.3</v>
      </c>
      <c r="D83" s="50">
        <v>0.7</v>
      </c>
      <c r="E83" s="50">
        <v>1.2</v>
      </c>
      <c r="F83" s="50">
        <v>0.4</v>
      </c>
      <c r="G83" s="50">
        <v>0.4</v>
      </c>
      <c r="H83" s="50">
        <v>1.1000000000000001</v>
      </c>
      <c r="I83" s="51">
        <v>0.7</v>
      </c>
      <c r="J83" s="50">
        <v>1.8</v>
      </c>
      <c r="K83" s="71"/>
    </row>
    <row r="84" spans="1:11">
      <c r="A84" s="54">
        <v>42288</v>
      </c>
      <c r="B84" s="50">
        <v>0.5</v>
      </c>
      <c r="C84" s="62">
        <v>1</v>
      </c>
      <c r="D84" s="50">
        <v>0.3</v>
      </c>
      <c r="E84" s="50">
        <v>1.1000000000000001</v>
      </c>
      <c r="F84" s="50">
        <v>0.2</v>
      </c>
      <c r="G84" s="50">
        <v>0.4</v>
      </c>
      <c r="H84" s="50">
        <v>0.3</v>
      </c>
      <c r="I84" s="51">
        <v>0.6</v>
      </c>
      <c r="J84" s="50">
        <v>2.2000000000000002</v>
      </c>
      <c r="K84" s="71"/>
    </row>
    <row r="85" spans="1:11">
      <c r="A85" s="54">
        <v>42288</v>
      </c>
      <c r="B85" s="50">
        <v>0.3</v>
      </c>
      <c r="C85" s="61">
        <v>0.7</v>
      </c>
      <c r="D85" s="50">
        <v>0.2</v>
      </c>
      <c r="E85" s="50">
        <v>1.3</v>
      </c>
      <c r="F85" s="50">
        <v>0.2</v>
      </c>
      <c r="G85" s="64">
        <v>0.3</v>
      </c>
      <c r="H85" s="50">
        <v>0.9</v>
      </c>
      <c r="I85" s="51">
        <v>4</v>
      </c>
      <c r="J85" s="50">
        <v>1.8</v>
      </c>
      <c r="K85" s="71"/>
    </row>
    <row r="86" spans="1:11">
      <c r="A86" s="54">
        <v>42288</v>
      </c>
      <c r="B86" s="50">
        <v>0.4</v>
      </c>
      <c r="C86" s="61">
        <v>1.3</v>
      </c>
      <c r="D86" s="50">
        <v>0.8</v>
      </c>
      <c r="E86" s="50">
        <v>0.6</v>
      </c>
      <c r="F86" s="50">
        <v>0.3</v>
      </c>
      <c r="G86" s="50">
        <v>0.9</v>
      </c>
      <c r="H86" s="50">
        <v>1.7</v>
      </c>
      <c r="I86" s="51">
        <v>1.7</v>
      </c>
      <c r="J86" s="50">
        <v>12</v>
      </c>
      <c r="K86" s="71"/>
    </row>
    <row r="87" spans="1:11">
      <c r="A87" s="54">
        <v>42288</v>
      </c>
      <c r="B87" s="50">
        <v>0.5</v>
      </c>
      <c r="C87" s="61">
        <v>0.9</v>
      </c>
      <c r="D87" s="50">
        <v>0.5</v>
      </c>
      <c r="E87" s="50">
        <v>1.2</v>
      </c>
      <c r="F87" s="50">
        <v>0.4</v>
      </c>
      <c r="G87" s="50">
        <v>0.6</v>
      </c>
      <c r="H87" s="50">
        <v>1.3</v>
      </c>
      <c r="I87" s="51">
        <v>2.1</v>
      </c>
      <c r="J87" s="64">
        <v>4.5</v>
      </c>
      <c r="K87" s="70"/>
    </row>
    <row r="88" spans="1:11">
      <c r="B88" s="43">
        <f t="shared" ref="B88:J88" si="0">AVERAGE(B4:B87)</f>
        <v>0.46904761904761905</v>
      </c>
      <c r="C88" s="55">
        <f>AVERAGE(C4:C87)</f>
        <v>3.1047619047619048</v>
      </c>
      <c r="D88" s="43">
        <f>AVERAGE(D4:D87)</f>
        <v>0.61325301204819271</v>
      </c>
      <c r="E88" s="43">
        <f t="shared" si="0"/>
        <v>1.1542168674698792</v>
      </c>
      <c r="F88" s="43">
        <f t="shared" si="0"/>
        <v>0.46049382716049381</v>
      </c>
      <c r="G88" s="43">
        <f t="shared" si="0"/>
        <v>0.55925925925925912</v>
      </c>
      <c r="H88" s="43">
        <f t="shared" si="0"/>
        <v>1.0357142857142858</v>
      </c>
      <c r="I88" s="43">
        <f t="shared" si="0"/>
        <v>1.7440476190476186</v>
      </c>
      <c r="J88" s="43">
        <f t="shared" si="0"/>
        <v>2.1976190476190478</v>
      </c>
      <c r="K88" s="43"/>
    </row>
    <row r="89" spans="1:11">
      <c r="B89" s="43">
        <f t="shared" ref="B89:J89" si="1">MIN(B4:B87)</f>
        <v>0.1</v>
      </c>
      <c r="C89" s="55">
        <f t="shared" si="1"/>
        <v>0.5</v>
      </c>
      <c r="D89" s="43">
        <f>MIN(D4:D87)</f>
        <v>0.1</v>
      </c>
      <c r="E89" s="43">
        <f t="shared" si="1"/>
        <v>0.1</v>
      </c>
      <c r="F89" s="43">
        <f t="shared" si="1"/>
        <v>0.1</v>
      </c>
      <c r="G89" s="43">
        <f t="shared" si="1"/>
        <v>0.1</v>
      </c>
      <c r="H89" s="43">
        <f t="shared" si="1"/>
        <v>0.3</v>
      </c>
      <c r="I89" s="43">
        <f t="shared" si="1"/>
        <v>0.6</v>
      </c>
      <c r="J89" s="43">
        <f t="shared" si="1"/>
        <v>0.5</v>
      </c>
      <c r="K89" s="43"/>
    </row>
    <row r="90" spans="1:11">
      <c r="B90" s="43">
        <f t="shared" ref="B90:J90" si="2">MAX(B4:B87)</f>
        <v>1.1000000000000001</v>
      </c>
      <c r="C90" s="55">
        <f t="shared" si="2"/>
        <v>10</v>
      </c>
      <c r="D90" s="43">
        <f>MAX(D4:D87)</f>
        <v>1.9</v>
      </c>
      <c r="E90" s="43">
        <f t="shared" si="2"/>
        <v>10</v>
      </c>
      <c r="F90" s="43">
        <f t="shared" si="2"/>
        <v>5.5</v>
      </c>
      <c r="G90" s="43">
        <f t="shared" si="2"/>
        <v>6.2</v>
      </c>
      <c r="H90" s="43">
        <f t="shared" si="2"/>
        <v>4</v>
      </c>
      <c r="I90" s="43">
        <f t="shared" si="2"/>
        <v>4</v>
      </c>
      <c r="J90" s="43">
        <f t="shared" si="2"/>
        <v>12</v>
      </c>
      <c r="K90" s="43"/>
    </row>
    <row r="91" spans="1:11">
      <c r="B91" s="43">
        <f>AVERAGE(B4:B40)</f>
        <v>0.45405405405405397</v>
      </c>
      <c r="C91" s="55">
        <f>AVERAGE(C4:C40)</f>
        <v>3.3405405405405415</v>
      </c>
      <c r="D91" s="43">
        <f>AVERAGE(D4:D40)</f>
        <v>0.72777777777777763</v>
      </c>
      <c r="E91" s="43">
        <f t="shared" ref="E91:J91" si="3">AVERAGE(E4:E40)</f>
        <v>1.5222222222222224</v>
      </c>
      <c r="F91" s="43">
        <f t="shared" si="3"/>
        <v>0.44571428571428573</v>
      </c>
      <c r="G91" s="43">
        <f>AVERAGE(G4:G40)</f>
        <v>0.80270270270270272</v>
      </c>
      <c r="H91" s="43">
        <f t="shared" si="3"/>
        <v>0.95675675675675675</v>
      </c>
      <c r="I91" s="43">
        <f t="shared" si="3"/>
        <v>1.7432432432432432</v>
      </c>
      <c r="J91" s="43">
        <f t="shared" si="3"/>
        <v>2.1270270270270268</v>
      </c>
      <c r="K91" s="43"/>
    </row>
    <row r="92" spans="1:11">
      <c r="B92" s="43">
        <f t="shared" ref="B92:J92" si="4">MIN(B4:B40)</f>
        <v>0.1</v>
      </c>
      <c r="C92" s="55">
        <f t="shared" si="4"/>
        <v>0.5</v>
      </c>
      <c r="D92" s="43">
        <f>MIN(D4:D40)</f>
        <v>0.1</v>
      </c>
      <c r="E92" s="43">
        <f t="shared" si="4"/>
        <v>0.1</v>
      </c>
      <c r="F92" s="43">
        <f t="shared" si="4"/>
        <v>0.1</v>
      </c>
      <c r="G92" s="43">
        <f t="shared" si="4"/>
        <v>0.1</v>
      </c>
      <c r="H92" s="43">
        <f t="shared" si="4"/>
        <v>0.4</v>
      </c>
      <c r="I92" s="43">
        <f t="shared" si="4"/>
        <v>0.9</v>
      </c>
      <c r="J92" s="43">
        <f t="shared" si="4"/>
        <v>0.7</v>
      </c>
      <c r="K92" s="43"/>
    </row>
    <row r="93" spans="1:11">
      <c r="B93" s="43">
        <f t="shared" ref="B93:J93" si="5">MAX(B4:B40)</f>
        <v>0.8</v>
      </c>
      <c r="C93" s="55">
        <f t="shared" si="5"/>
        <v>8.4</v>
      </c>
      <c r="D93" s="43">
        <f>MAX(D4:D40)</f>
        <v>1.9</v>
      </c>
      <c r="E93" s="43">
        <f t="shared" si="5"/>
        <v>10</v>
      </c>
      <c r="F93" s="43">
        <f t="shared" si="5"/>
        <v>1.2</v>
      </c>
      <c r="G93" s="43">
        <f t="shared" si="5"/>
        <v>6.2</v>
      </c>
      <c r="H93" s="43">
        <f t="shared" si="5"/>
        <v>1.7</v>
      </c>
      <c r="I93" s="43">
        <f t="shared" si="5"/>
        <v>3.3</v>
      </c>
      <c r="J93" s="43">
        <f t="shared" si="5"/>
        <v>4.3</v>
      </c>
      <c r="K93" s="4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6499-2DEA-4E87-A95A-C3AE003C89E3}">
  <dimension ref="A1:S46"/>
  <sheetViews>
    <sheetView topLeftCell="D1" workbookViewId="0">
      <selection activeCell="I3" sqref="I3"/>
    </sheetView>
  </sheetViews>
  <sheetFormatPr defaultRowHeight="14.5"/>
  <cols>
    <col min="2" max="2" width="16.453125" bestFit="1" customWidth="1"/>
    <col min="3" max="3" width="15.7265625" bestFit="1" customWidth="1"/>
    <col min="4" max="4" width="17.7265625" bestFit="1" customWidth="1"/>
    <col min="5" max="5" width="19.54296875" bestFit="1" customWidth="1"/>
    <col min="6" max="6" width="17.1796875" bestFit="1" customWidth="1"/>
    <col min="7" max="7" width="15.81640625" bestFit="1" customWidth="1"/>
    <col min="8" max="8" width="17.08984375" bestFit="1" customWidth="1"/>
    <col min="9" max="9" width="17.453125" bestFit="1" customWidth="1"/>
  </cols>
  <sheetData>
    <row r="1" spans="1:19">
      <c r="B1" t="s">
        <v>99</v>
      </c>
      <c r="C1" s="63" t="s">
        <v>102</v>
      </c>
      <c r="D1" s="63" t="s">
        <v>101</v>
      </c>
      <c r="E1" t="s">
        <v>105</v>
      </c>
      <c r="F1" t="s">
        <v>106</v>
      </c>
      <c r="G1" t="s">
        <v>104</v>
      </c>
      <c r="H1" t="s">
        <v>98</v>
      </c>
      <c r="I1" t="s">
        <v>103</v>
      </c>
    </row>
    <row r="2" spans="1:19">
      <c r="A2" s="43" t="s">
        <v>82</v>
      </c>
      <c r="B2" s="43" t="s">
        <v>77</v>
      </c>
      <c r="C2" s="55" t="s">
        <v>78</v>
      </c>
      <c r="D2" s="55" t="s">
        <v>100</v>
      </c>
      <c r="E2" s="43" t="s">
        <v>79</v>
      </c>
      <c r="F2" s="43" t="s">
        <v>80</v>
      </c>
      <c r="G2" s="43" t="s">
        <v>81</v>
      </c>
      <c r="H2" s="43" t="s">
        <v>83</v>
      </c>
      <c r="I2" s="43" t="s">
        <v>84</v>
      </c>
      <c r="J2" s="34" t="s">
        <v>95</v>
      </c>
      <c r="K2" s="34" t="s">
        <v>82</v>
      </c>
      <c r="L2" s="43" t="s">
        <v>77</v>
      </c>
      <c r="M2" s="43" t="s">
        <v>78</v>
      </c>
      <c r="N2" s="43" t="s">
        <v>79</v>
      </c>
      <c r="O2" s="43" t="s">
        <v>80</v>
      </c>
      <c r="P2" s="43" t="s">
        <v>81</v>
      </c>
      <c r="Q2" s="43" t="s">
        <v>83</v>
      </c>
      <c r="R2" s="43" t="s">
        <v>84</v>
      </c>
      <c r="S2" s="34" t="s">
        <v>95</v>
      </c>
    </row>
    <row r="3" spans="1:19">
      <c r="A3" s="43" t="s">
        <v>85</v>
      </c>
      <c r="B3" s="43" t="s">
        <v>86</v>
      </c>
      <c r="C3" s="55" t="s">
        <v>87</v>
      </c>
      <c r="D3" s="55" t="s">
        <v>87</v>
      </c>
      <c r="E3" s="43" t="s">
        <v>88</v>
      </c>
      <c r="F3" s="43" t="s">
        <v>89</v>
      </c>
      <c r="G3" s="43" t="s">
        <v>90</v>
      </c>
      <c r="H3" s="34" t="s">
        <v>91</v>
      </c>
      <c r="I3" s="43" t="s">
        <v>92</v>
      </c>
      <c r="J3" s="43" t="s">
        <v>96</v>
      </c>
      <c r="K3" s="34" t="s">
        <v>97</v>
      </c>
      <c r="L3" s="43" t="s">
        <v>86</v>
      </c>
      <c r="M3" s="43" t="s">
        <v>87</v>
      </c>
      <c r="N3" s="43" t="s">
        <v>88</v>
      </c>
      <c r="O3" s="43" t="s">
        <v>89</v>
      </c>
      <c r="P3" s="43" t="s">
        <v>90</v>
      </c>
      <c r="Q3" s="43" t="s">
        <v>91</v>
      </c>
      <c r="R3" s="43" t="s">
        <v>92</v>
      </c>
      <c r="S3" s="43" t="s">
        <v>96</v>
      </c>
    </row>
    <row r="4" spans="1:19">
      <c r="A4" s="52">
        <v>42281</v>
      </c>
      <c r="B4" s="45" t="s">
        <v>93</v>
      </c>
      <c r="C4" s="56">
        <v>0.4</v>
      </c>
      <c r="D4" s="45" t="s">
        <v>93</v>
      </c>
      <c r="E4" s="45" t="s">
        <v>93</v>
      </c>
      <c r="F4" s="45" t="s">
        <v>93</v>
      </c>
      <c r="G4" s="45">
        <v>0.2</v>
      </c>
      <c r="H4" s="45">
        <v>0.6</v>
      </c>
      <c r="I4" s="45">
        <v>0.9</v>
      </c>
      <c r="J4" s="45">
        <v>0.3</v>
      </c>
      <c r="K4" s="44">
        <v>42281.375</v>
      </c>
      <c r="L4" s="43">
        <v>142160.28270000001</v>
      </c>
      <c r="M4" s="43">
        <v>670577.44499999995</v>
      </c>
      <c r="N4" s="43">
        <v>971020.99970000004</v>
      </c>
      <c r="O4" s="43">
        <v>521101.94660000002</v>
      </c>
      <c r="P4" s="43">
        <v>463363.23389999999</v>
      </c>
      <c r="Q4" s="43">
        <v>64229.675669999997</v>
      </c>
      <c r="R4" s="43">
        <v>130310.61629999999</v>
      </c>
      <c r="S4" s="34">
        <v>62692.485809326201</v>
      </c>
    </row>
    <row r="5" spans="1:19">
      <c r="A5" s="52">
        <v>42281</v>
      </c>
      <c r="B5" s="45">
        <v>0.3</v>
      </c>
      <c r="C5" s="56">
        <v>0.3</v>
      </c>
      <c r="D5" s="45">
        <v>1.2</v>
      </c>
      <c r="E5" s="45" t="s">
        <v>93</v>
      </c>
      <c r="F5" s="45">
        <v>0.2</v>
      </c>
      <c r="G5" s="45">
        <v>0.1</v>
      </c>
      <c r="H5" s="45" t="s">
        <v>93</v>
      </c>
      <c r="I5" s="45">
        <v>1</v>
      </c>
      <c r="J5" s="45">
        <v>0.2</v>
      </c>
      <c r="K5" s="44">
        <v>42281.458333333336</v>
      </c>
      <c r="L5" s="43">
        <v>142767.8198</v>
      </c>
      <c r="M5" s="43">
        <v>675014.50710000005</v>
      </c>
      <c r="N5" s="43">
        <v>900790.40969999996</v>
      </c>
      <c r="O5" s="43">
        <v>332942.79210000002</v>
      </c>
      <c r="P5" s="43">
        <v>262298.14449999999</v>
      </c>
      <c r="Q5" s="43">
        <v>63472.674749999998</v>
      </c>
      <c r="R5" s="43">
        <v>128227.54670000001</v>
      </c>
      <c r="S5" s="34">
        <v>50340.890121459997</v>
      </c>
    </row>
    <row r="6" spans="1:19">
      <c r="A6" s="52">
        <v>42281</v>
      </c>
      <c r="B6" s="45">
        <v>0.4</v>
      </c>
      <c r="C6" s="56">
        <v>1.6</v>
      </c>
      <c r="D6" s="45">
        <v>0.3</v>
      </c>
      <c r="E6" s="45" t="s">
        <v>93</v>
      </c>
      <c r="F6" s="45">
        <v>0.3</v>
      </c>
      <c r="G6" s="45">
        <v>0.2</v>
      </c>
      <c r="H6" s="45">
        <v>1.1000000000000001</v>
      </c>
      <c r="I6" s="45">
        <v>1.4</v>
      </c>
      <c r="J6" s="45">
        <v>0.7</v>
      </c>
      <c r="K6" s="44">
        <v>42281.541666666664</v>
      </c>
      <c r="L6" s="43">
        <v>133951.60560000001</v>
      </c>
      <c r="M6" s="43">
        <v>592812.16850000003</v>
      </c>
      <c r="N6" s="43">
        <v>920698.69189999998</v>
      </c>
      <c r="O6" s="43">
        <v>300776.16749999998</v>
      </c>
      <c r="P6" s="43">
        <v>236214.13649999999</v>
      </c>
      <c r="Q6" s="43">
        <v>60336.560440000001</v>
      </c>
      <c r="R6" s="43">
        <v>127736.1488</v>
      </c>
      <c r="S6" s="34">
        <v>44201.671600341797</v>
      </c>
    </row>
    <row r="7" spans="1:19">
      <c r="A7" s="52">
        <v>42281</v>
      </c>
      <c r="B7" s="45">
        <v>0.3</v>
      </c>
      <c r="C7" s="56">
        <v>4.2</v>
      </c>
      <c r="D7" s="45">
        <v>0.8</v>
      </c>
      <c r="E7" s="45">
        <v>0.4</v>
      </c>
      <c r="F7" s="45">
        <v>0.4</v>
      </c>
      <c r="G7" s="45">
        <v>0.1</v>
      </c>
      <c r="H7" s="45">
        <v>1.2</v>
      </c>
      <c r="I7" s="45">
        <v>3</v>
      </c>
      <c r="J7" s="45">
        <v>1.5</v>
      </c>
      <c r="K7" s="44">
        <v>42281.625</v>
      </c>
      <c r="L7" s="43">
        <v>125552.3947</v>
      </c>
      <c r="M7" s="43">
        <v>620063.82579999999</v>
      </c>
      <c r="N7" s="43">
        <v>970123.05279999995</v>
      </c>
      <c r="O7" s="43">
        <v>287782.86040000001</v>
      </c>
      <c r="P7" s="43">
        <v>226134.4963</v>
      </c>
      <c r="Q7" s="43">
        <v>55693.036079999998</v>
      </c>
      <c r="R7" s="43">
        <v>175858.6967</v>
      </c>
      <c r="S7" s="34">
        <v>53136.999893188498</v>
      </c>
    </row>
    <row r="8" spans="1:19">
      <c r="A8" s="52">
        <v>42281</v>
      </c>
      <c r="B8" s="45">
        <v>0.4</v>
      </c>
      <c r="C8" s="56">
        <v>6</v>
      </c>
      <c r="D8" s="45">
        <v>0.7</v>
      </c>
      <c r="E8" s="45">
        <v>0.7</v>
      </c>
      <c r="F8" s="45">
        <v>0.4</v>
      </c>
      <c r="G8" s="45">
        <v>0.2</v>
      </c>
      <c r="H8" s="45">
        <v>0.2</v>
      </c>
      <c r="I8" s="45">
        <v>3.3</v>
      </c>
      <c r="J8" s="45">
        <v>0.5</v>
      </c>
      <c r="K8" s="44">
        <v>42281.708333333336</v>
      </c>
      <c r="L8" s="43">
        <v>124966.9813</v>
      </c>
      <c r="M8" s="43">
        <v>599971.96710000001</v>
      </c>
      <c r="N8" s="43">
        <v>821388.83799999999</v>
      </c>
      <c r="O8" s="43">
        <v>281939.2942</v>
      </c>
      <c r="P8" s="43">
        <v>222461.01149999999</v>
      </c>
      <c r="Q8" s="43">
        <v>55008.302880000003</v>
      </c>
      <c r="R8" s="43">
        <v>158969.97760000001</v>
      </c>
      <c r="S8" s="34">
        <v>44180.121231079102</v>
      </c>
    </row>
    <row r="9" spans="1:19">
      <c r="A9" s="52">
        <v>42281</v>
      </c>
      <c r="B9" s="45">
        <v>0.3</v>
      </c>
      <c r="C9" s="56">
        <v>6.3</v>
      </c>
      <c r="D9" s="45">
        <v>0.5</v>
      </c>
      <c r="E9" s="45">
        <v>0.5</v>
      </c>
      <c r="F9" s="45">
        <v>0.2</v>
      </c>
      <c r="G9" s="45">
        <v>0.2</v>
      </c>
      <c r="H9" s="45">
        <v>1.4</v>
      </c>
      <c r="I9" s="45">
        <v>2.5</v>
      </c>
      <c r="J9" s="45">
        <v>1.7</v>
      </c>
      <c r="K9" s="44">
        <v>42281.791666666664</v>
      </c>
      <c r="L9" s="43">
        <v>146532.97690000001</v>
      </c>
      <c r="M9" s="43">
        <v>665433.38699999999</v>
      </c>
      <c r="N9" s="43">
        <v>888655.89520000003</v>
      </c>
      <c r="O9" s="43">
        <v>308758.6275</v>
      </c>
      <c r="P9" s="43">
        <v>250745.09349999999</v>
      </c>
      <c r="Q9" s="43">
        <v>65192.989540000002</v>
      </c>
      <c r="R9" s="43">
        <v>154010.17569999999</v>
      </c>
      <c r="S9" s="34">
        <v>52152.848052978501</v>
      </c>
    </row>
    <row r="10" spans="1:19">
      <c r="A10" s="52">
        <v>42281</v>
      </c>
      <c r="B10" s="45">
        <v>0.4</v>
      </c>
      <c r="C10" s="56">
        <v>4</v>
      </c>
      <c r="D10" s="45">
        <v>0.5</v>
      </c>
      <c r="E10" s="45">
        <v>0.2</v>
      </c>
      <c r="F10" s="45">
        <v>0.4</v>
      </c>
      <c r="G10" s="45">
        <v>0.2</v>
      </c>
      <c r="H10" s="45">
        <v>0.9</v>
      </c>
      <c r="I10" s="45">
        <v>1.9</v>
      </c>
      <c r="J10" s="45">
        <v>2.5</v>
      </c>
      <c r="K10" s="44">
        <v>42281.875</v>
      </c>
      <c r="L10" s="43">
        <v>157346.7218</v>
      </c>
      <c r="M10" s="43">
        <v>867860.24380000005</v>
      </c>
      <c r="N10" s="43">
        <v>1085344.1810000001</v>
      </c>
      <c r="O10" s="43">
        <v>366799.85729999997</v>
      </c>
      <c r="P10" s="43">
        <v>277103.85590000002</v>
      </c>
      <c r="Q10" s="43">
        <v>68084.470939999999</v>
      </c>
      <c r="R10" s="43">
        <v>158226.41260000001</v>
      </c>
      <c r="S10" s="34">
        <v>63444.465637207002</v>
      </c>
    </row>
    <row r="11" spans="1:19">
      <c r="A11" s="52">
        <v>42281</v>
      </c>
      <c r="B11" s="45">
        <v>0.4</v>
      </c>
      <c r="C11" s="56">
        <v>3.1</v>
      </c>
      <c r="D11" s="45">
        <v>0.7</v>
      </c>
      <c r="E11" s="45">
        <v>0.4</v>
      </c>
      <c r="F11" s="45">
        <v>0.6</v>
      </c>
      <c r="G11" s="45">
        <v>0.3</v>
      </c>
      <c r="H11" s="45">
        <v>0.8</v>
      </c>
      <c r="I11" s="45">
        <v>1.4</v>
      </c>
      <c r="J11" s="45">
        <v>1.9</v>
      </c>
      <c r="K11" s="44">
        <v>42281.958333333336</v>
      </c>
      <c r="L11" s="43">
        <v>177901.84479999999</v>
      </c>
      <c r="M11" s="43">
        <v>779165.61360000004</v>
      </c>
      <c r="N11" s="43">
        <v>1003054.676</v>
      </c>
      <c r="O11" s="43">
        <v>364545.87479999999</v>
      </c>
      <c r="P11" s="43">
        <v>278082.59350000002</v>
      </c>
      <c r="Q11" s="43">
        <v>86716.931530000002</v>
      </c>
      <c r="R11" s="43">
        <v>159813.76879999999</v>
      </c>
      <c r="S11" s="34">
        <v>57651.6494750977</v>
      </c>
    </row>
    <row r="12" spans="1:19">
      <c r="A12" s="52">
        <v>42282</v>
      </c>
      <c r="B12" s="45">
        <v>0.6</v>
      </c>
      <c r="C12" s="56">
        <v>2.2000000000000002</v>
      </c>
      <c r="D12" s="45" t="s">
        <v>93</v>
      </c>
      <c r="E12" s="45">
        <v>0.8</v>
      </c>
      <c r="F12" s="45">
        <v>0.4</v>
      </c>
      <c r="G12" s="45">
        <v>0.2</v>
      </c>
      <c r="H12" s="45">
        <v>0.6</v>
      </c>
      <c r="I12" s="45">
        <v>2.1</v>
      </c>
      <c r="J12" s="45">
        <v>1.7</v>
      </c>
      <c r="K12" s="44">
        <v>42282.041666666664</v>
      </c>
      <c r="L12" s="43">
        <v>149516.56839999999</v>
      </c>
      <c r="M12" s="43">
        <v>679103.76430000004</v>
      </c>
      <c r="N12" s="43">
        <v>903277.59250000003</v>
      </c>
      <c r="O12" s="43">
        <v>277635.59250000003</v>
      </c>
      <c r="P12" s="43">
        <v>220113.8168</v>
      </c>
      <c r="Q12" s="43">
        <v>59663.671880000002</v>
      </c>
      <c r="R12" s="43">
        <v>159592.27410000001</v>
      </c>
      <c r="S12" s="34">
        <v>46340.407562255903</v>
      </c>
    </row>
    <row r="13" spans="1:19">
      <c r="A13" s="52">
        <v>42282</v>
      </c>
      <c r="B13" s="45">
        <v>0.4</v>
      </c>
      <c r="C13" s="56">
        <v>1.2</v>
      </c>
      <c r="D13" s="45">
        <v>0.6</v>
      </c>
      <c r="E13" s="45">
        <v>0.3</v>
      </c>
      <c r="F13" s="45">
        <v>0.3</v>
      </c>
      <c r="G13" s="45">
        <v>0.3</v>
      </c>
      <c r="H13" s="45">
        <v>1</v>
      </c>
      <c r="I13" s="45">
        <v>2</v>
      </c>
      <c r="J13" s="45">
        <v>2.2000000000000002</v>
      </c>
      <c r="K13" s="44">
        <v>42282.125</v>
      </c>
      <c r="L13" s="43">
        <v>81335.769650000002</v>
      </c>
      <c r="M13" s="43">
        <v>473330.79300000001</v>
      </c>
      <c r="N13" s="43">
        <v>624075.6912</v>
      </c>
      <c r="O13" s="43">
        <v>174756.21609999999</v>
      </c>
      <c r="P13" s="43">
        <v>147887.23069999999</v>
      </c>
      <c r="Q13" s="43">
        <v>38727.728459999998</v>
      </c>
      <c r="R13" s="43">
        <v>150492.6796</v>
      </c>
      <c r="S13" s="34">
        <v>32948.207473754897</v>
      </c>
    </row>
    <row r="14" spans="1:19">
      <c r="A14" s="52">
        <v>42282</v>
      </c>
      <c r="B14" s="45">
        <v>0.4</v>
      </c>
      <c r="C14" s="56">
        <v>1.9</v>
      </c>
      <c r="D14" s="45">
        <v>0.8</v>
      </c>
      <c r="E14" s="45">
        <v>0.4</v>
      </c>
      <c r="F14" s="45">
        <v>0.5</v>
      </c>
      <c r="G14" s="45">
        <v>0.3</v>
      </c>
      <c r="H14" s="45">
        <v>0.7</v>
      </c>
      <c r="I14" s="45">
        <v>1.7</v>
      </c>
      <c r="J14" s="45">
        <v>2.2000000000000002</v>
      </c>
      <c r="K14" s="44">
        <v>42282.208333333336</v>
      </c>
      <c r="L14" s="43">
        <v>70329.441260000007</v>
      </c>
      <c r="M14" s="43">
        <v>318937.93770000001</v>
      </c>
      <c r="N14" s="43">
        <v>445481.45539999998</v>
      </c>
      <c r="O14" s="43">
        <v>81909.956359999996</v>
      </c>
      <c r="P14" s="43">
        <v>59483.978459999998</v>
      </c>
      <c r="Q14" s="43">
        <v>32198.687549999999</v>
      </c>
      <c r="R14" s="43">
        <v>92889.160539999997</v>
      </c>
      <c r="S14" s="34">
        <v>25732.4970245361</v>
      </c>
    </row>
    <row r="15" spans="1:19">
      <c r="A15" s="52">
        <v>42282</v>
      </c>
      <c r="B15" s="45">
        <v>0.8</v>
      </c>
      <c r="C15" s="56">
        <v>3.2</v>
      </c>
      <c r="D15" s="45">
        <v>0.2</v>
      </c>
      <c r="E15" s="45">
        <v>1</v>
      </c>
      <c r="F15" s="45">
        <v>0.4</v>
      </c>
      <c r="G15" s="45">
        <v>0.3</v>
      </c>
      <c r="H15" s="45">
        <v>0.8</v>
      </c>
      <c r="I15" s="45">
        <v>0.3</v>
      </c>
      <c r="J15" s="45">
        <v>1.6</v>
      </c>
      <c r="K15" s="44">
        <v>42282.291666666664</v>
      </c>
      <c r="L15" s="43">
        <v>106569.84789999999</v>
      </c>
      <c r="M15" s="43">
        <v>420933.60389999999</v>
      </c>
      <c r="N15" s="43">
        <v>585975.85199999996</v>
      </c>
      <c r="O15" s="43">
        <v>319965.34649999999</v>
      </c>
      <c r="P15" s="43">
        <v>266741.55119999999</v>
      </c>
      <c r="Q15" s="43">
        <v>46068.487359999999</v>
      </c>
      <c r="R15" s="43">
        <v>51988.09605</v>
      </c>
      <c r="S15" s="34">
        <v>33064.744949340798</v>
      </c>
    </row>
    <row r="16" spans="1:19">
      <c r="A16" s="52">
        <v>42282</v>
      </c>
      <c r="B16" s="46">
        <v>0.4</v>
      </c>
      <c r="C16" s="57">
        <v>0.9</v>
      </c>
      <c r="D16" s="46">
        <v>0.6</v>
      </c>
      <c r="E16" s="46">
        <v>0.2</v>
      </c>
      <c r="F16" s="46">
        <v>0.3</v>
      </c>
      <c r="G16" s="46">
        <v>0.1</v>
      </c>
      <c r="H16" s="46">
        <v>0.9</v>
      </c>
      <c r="I16" s="46">
        <v>1.2</v>
      </c>
      <c r="J16" s="47">
        <v>1.3</v>
      </c>
      <c r="K16" s="44">
        <v>42282.375</v>
      </c>
      <c r="L16" s="43">
        <v>147400.0557</v>
      </c>
      <c r="M16" s="43">
        <v>676261.2476</v>
      </c>
      <c r="N16" s="43">
        <v>903044.37679999997</v>
      </c>
      <c r="O16" s="43">
        <v>328960.78029999998</v>
      </c>
      <c r="P16" s="43">
        <v>258017.69940000001</v>
      </c>
      <c r="Q16" s="43">
        <v>66708.721730000005</v>
      </c>
      <c r="R16" s="43">
        <v>129967.83259999999</v>
      </c>
      <c r="S16" s="34">
        <v>48552.652359008804</v>
      </c>
    </row>
    <row r="17" spans="1:19">
      <c r="A17" s="52">
        <v>42282</v>
      </c>
      <c r="B17" s="46">
        <v>0.4</v>
      </c>
      <c r="C17" s="57">
        <v>3.9</v>
      </c>
      <c r="D17" s="46">
        <v>0.5</v>
      </c>
      <c r="E17" s="46">
        <v>0.5</v>
      </c>
      <c r="F17" s="46">
        <v>0.3</v>
      </c>
      <c r="G17" s="46" t="s">
        <v>107</v>
      </c>
      <c r="H17" s="46">
        <v>0.7</v>
      </c>
      <c r="I17" s="46">
        <v>1.4</v>
      </c>
      <c r="J17" s="46">
        <v>1.3</v>
      </c>
      <c r="K17" s="44">
        <v>42282.458333333336</v>
      </c>
      <c r="L17" s="43">
        <v>134445.10459999999</v>
      </c>
      <c r="M17" s="43">
        <v>596380.92610000004</v>
      </c>
      <c r="N17" s="43">
        <v>924584.90639999998</v>
      </c>
      <c r="O17" s="43">
        <v>341786.00180000003</v>
      </c>
      <c r="P17" s="43">
        <v>280638.62459999998</v>
      </c>
      <c r="Q17" s="43">
        <v>60946.960830000004</v>
      </c>
      <c r="R17" s="43">
        <v>124203.79029999999</v>
      </c>
      <c r="S17" s="34">
        <v>56755.669784545898</v>
      </c>
    </row>
    <row r="18" spans="1:19">
      <c r="A18" s="52">
        <v>42282</v>
      </c>
      <c r="B18" s="46">
        <v>0.4</v>
      </c>
      <c r="C18" s="57">
        <v>3.4</v>
      </c>
      <c r="D18" s="46">
        <v>1.1000000000000001</v>
      </c>
      <c r="E18" s="46">
        <v>1.1000000000000001</v>
      </c>
      <c r="F18" s="46" t="s">
        <v>107</v>
      </c>
      <c r="G18" s="46">
        <v>0.1</v>
      </c>
      <c r="H18" s="47">
        <v>1</v>
      </c>
      <c r="I18" s="47">
        <v>1.9</v>
      </c>
      <c r="J18" s="46">
        <v>1.1000000000000001</v>
      </c>
      <c r="K18" s="44">
        <v>42282.541666666664</v>
      </c>
      <c r="L18" s="43">
        <v>123542.54549999999</v>
      </c>
      <c r="M18" s="43">
        <v>573312.60849999997</v>
      </c>
      <c r="N18" s="43">
        <v>816947.52220000001</v>
      </c>
      <c r="O18" s="43">
        <v>307385.82919999998</v>
      </c>
      <c r="P18" s="43">
        <v>245434.22700000001</v>
      </c>
      <c r="Q18" s="43">
        <v>58447.881889999997</v>
      </c>
      <c r="R18" s="43">
        <v>126487.25049999999</v>
      </c>
      <c r="S18" s="34">
        <v>47422.3171234131</v>
      </c>
    </row>
    <row r="19" spans="1:19">
      <c r="A19" s="52">
        <v>42282</v>
      </c>
      <c r="B19" s="46">
        <v>0.4</v>
      </c>
      <c r="C19" s="57">
        <v>4.7</v>
      </c>
      <c r="D19" s="46">
        <v>0.8</v>
      </c>
      <c r="E19" s="46">
        <v>1.1000000000000001</v>
      </c>
      <c r="F19" s="46">
        <v>0.2</v>
      </c>
      <c r="G19" s="47">
        <v>0.7</v>
      </c>
      <c r="H19" s="46">
        <v>1.3</v>
      </c>
      <c r="I19" s="46">
        <v>2.1</v>
      </c>
      <c r="J19" s="46">
        <v>3</v>
      </c>
      <c r="K19" s="44">
        <v>42282.625</v>
      </c>
      <c r="L19" s="43">
        <v>118349.8833</v>
      </c>
      <c r="M19" s="43">
        <v>547333.28130000003</v>
      </c>
      <c r="N19" s="43">
        <v>787228.27720000001</v>
      </c>
      <c r="O19" s="43">
        <v>293483.61629999999</v>
      </c>
      <c r="P19" s="43">
        <v>243226.22219999999</v>
      </c>
      <c r="Q19" s="43">
        <v>51055.84087</v>
      </c>
      <c r="R19" s="43">
        <v>127552.5364</v>
      </c>
      <c r="S19" s="34">
        <v>45878.113174438498</v>
      </c>
    </row>
    <row r="20" spans="1:19">
      <c r="A20" s="52">
        <v>42282</v>
      </c>
      <c r="B20" s="48">
        <v>0.7</v>
      </c>
      <c r="C20" s="58">
        <v>6.2</v>
      </c>
      <c r="D20" s="48">
        <v>1.9</v>
      </c>
      <c r="E20" s="48">
        <v>0.5</v>
      </c>
      <c r="F20" s="48">
        <v>0.4</v>
      </c>
      <c r="G20" s="48" t="s">
        <v>107</v>
      </c>
      <c r="H20" s="48">
        <v>1</v>
      </c>
      <c r="I20" s="48">
        <v>2.5</v>
      </c>
      <c r="J20" s="48">
        <v>4</v>
      </c>
      <c r="K20" s="44">
        <v>42282.708333333336</v>
      </c>
      <c r="L20" s="43">
        <v>116547.6139</v>
      </c>
      <c r="M20" s="43">
        <v>559771.20900000003</v>
      </c>
      <c r="N20" s="43">
        <v>797390.20160000003</v>
      </c>
      <c r="O20" s="43">
        <v>269706.31479999999</v>
      </c>
      <c r="P20" s="43">
        <v>216469.33590000001</v>
      </c>
      <c r="Q20" s="43">
        <v>50851.757810000003</v>
      </c>
      <c r="R20" s="43">
        <v>125242.6884</v>
      </c>
      <c r="S20" s="34">
        <v>48800.919342041001</v>
      </c>
    </row>
    <row r="21" spans="1:19">
      <c r="A21" s="52">
        <v>42282</v>
      </c>
      <c r="B21" s="46">
        <v>0.3</v>
      </c>
      <c r="C21" s="57">
        <v>4.4000000000000004</v>
      </c>
      <c r="D21" s="46">
        <v>1.3</v>
      </c>
      <c r="E21" s="46">
        <v>0.9</v>
      </c>
      <c r="F21" s="46">
        <v>0.2</v>
      </c>
      <c r="G21" s="46">
        <v>0.2</v>
      </c>
      <c r="H21" s="46">
        <v>1.1000000000000001</v>
      </c>
      <c r="I21" s="46">
        <v>2.2000000000000002</v>
      </c>
      <c r="J21" s="46">
        <v>2.2999999999999998</v>
      </c>
      <c r="K21" s="44">
        <v>42282.791666666664</v>
      </c>
      <c r="L21" s="43">
        <v>142994.799</v>
      </c>
      <c r="M21" s="43">
        <v>629011.2476</v>
      </c>
      <c r="N21" s="43">
        <v>871622.0638</v>
      </c>
      <c r="O21" s="43">
        <v>319245.55320000002</v>
      </c>
      <c r="P21" s="43">
        <v>247300.4883</v>
      </c>
      <c r="Q21" s="43">
        <v>65140.661999999997</v>
      </c>
      <c r="R21" s="43">
        <v>124562.3943</v>
      </c>
      <c r="S21" s="34">
        <v>50774.8672485352</v>
      </c>
    </row>
    <row r="22" spans="1:19">
      <c r="A22" s="52">
        <v>42282</v>
      </c>
      <c r="B22" s="46">
        <v>0.4</v>
      </c>
      <c r="C22" s="57">
        <v>0.5</v>
      </c>
      <c r="D22" s="46" t="s">
        <v>107</v>
      </c>
      <c r="E22" s="46">
        <v>0.7</v>
      </c>
      <c r="F22" s="46">
        <v>0.2</v>
      </c>
      <c r="G22" s="46">
        <v>0.5</v>
      </c>
      <c r="H22" s="46">
        <v>1</v>
      </c>
      <c r="I22" s="46">
        <v>1.5</v>
      </c>
      <c r="J22" s="46">
        <v>1.8</v>
      </c>
      <c r="K22" s="44">
        <v>42282.875</v>
      </c>
      <c r="L22" s="43">
        <v>163510.70079999999</v>
      </c>
      <c r="M22" s="43">
        <v>903375.93900000001</v>
      </c>
      <c r="N22" s="43">
        <v>1207232.5819999999</v>
      </c>
      <c r="O22" s="43">
        <v>544929.56200000003</v>
      </c>
      <c r="P22" s="43">
        <v>443650.09460000001</v>
      </c>
      <c r="Q22" s="43">
        <v>73060.5772</v>
      </c>
      <c r="R22" s="43">
        <v>178379.4823</v>
      </c>
      <c r="S22" s="34">
        <v>68406.626129150405</v>
      </c>
    </row>
    <row r="23" spans="1:19">
      <c r="A23" s="52">
        <v>42282</v>
      </c>
      <c r="B23" s="46">
        <v>0.3</v>
      </c>
      <c r="C23" s="57">
        <v>2.6</v>
      </c>
      <c r="D23" s="47">
        <v>0.9</v>
      </c>
      <c r="E23" s="46">
        <v>0.9</v>
      </c>
      <c r="F23" s="46">
        <v>0.3</v>
      </c>
      <c r="G23" s="46">
        <v>0.6</v>
      </c>
      <c r="H23" s="46">
        <v>0.8</v>
      </c>
      <c r="I23" s="46">
        <v>1.2</v>
      </c>
      <c r="J23" s="46">
        <v>1.2</v>
      </c>
      <c r="K23" s="44">
        <v>42282.958333333336</v>
      </c>
      <c r="L23" s="43">
        <v>184389.02780000001</v>
      </c>
      <c r="M23" s="43">
        <v>867740.01049999997</v>
      </c>
      <c r="N23" s="43">
        <v>1149413.3</v>
      </c>
      <c r="O23" s="43">
        <v>404860.69679999998</v>
      </c>
      <c r="P23" s="43">
        <v>312837.71899999998</v>
      </c>
      <c r="Q23" s="43">
        <v>94018.005749999997</v>
      </c>
      <c r="R23" s="43">
        <v>180539.26389999999</v>
      </c>
      <c r="S23" s="34">
        <v>62583.1718444824</v>
      </c>
    </row>
    <row r="24" spans="1:19">
      <c r="A24" s="52">
        <v>42283</v>
      </c>
      <c r="B24" s="46">
        <v>0.6</v>
      </c>
      <c r="C24" s="57">
        <v>2</v>
      </c>
      <c r="D24" s="46">
        <v>0.3</v>
      </c>
      <c r="E24" s="46">
        <v>0.1</v>
      </c>
      <c r="F24" s="46">
        <v>0.3</v>
      </c>
      <c r="G24" s="46" t="s">
        <v>107</v>
      </c>
      <c r="H24" s="47">
        <v>0.9</v>
      </c>
      <c r="I24" s="46">
        <v>1.2</v>
      </c>
      <c r="J24" s="46">
        <v>2.5</v>
      </c>
      <c r="K24" s="44">
        <v>42283.041666666664</v>
      </c>
      <c r="L24" s="43">
        <v>127982.59450000001</v>
      </c>
      <c r="M24" s="43">
        <v>768250.80810000002</v>
      </c>
      <c r="N24" s="43">
        <v>998668.38630000001</v>
      </c>
      <c r="O24" s="43">
        <v>279198.35820000002</v>
      </c>
      <c r="P24" s="43">
        <v>221904.66380000001</v>
      </c>
      <c r="Q24" s="43">
        <v>60422.521589999997</v>
      </c>
      <c r="R24" s="43">
        <v>180442.05549999999</v>
      </c>
      <c r="S24" s="34">
        <v>50916.082763671897</v>
      </c>
    </row>
    <row r="25" spans="1:19">
      <c r="A25" s="52">
        <v>42283</v>
      </c>
      <c r="B25" s="46">
        <v>0.4</v>
      </c>
      <c r="C25" s="57">
        <v>1.7</v>
      </c>
      <c r="D25" s="46">
        <v>1.3</v>
      </c>
      <c r="E25" s="46">
        <v>1.2</v>
      </c>
      <c r="F25" s="46">
        <v>0.8</v>
      </c>
      <c r="G25" s="47" t="s">
        <v>107</v>
      </c>
      <c r="H25" s="46">
        <v>0.9</v>
      </c>
      <c r="I25" s="46">
        <v>1.9</v>
      </c>
      <c r="J25" s="46">
        <v>3.4</v>
      </c>
      <c r="K25" s="44">
        <v>42283.125</v>
      </c>
      <c r="L25" s="43">
        <v>79979.301449999999</v>
      </c>
      <c r="M25" s="43">
        <v>480354.29080000002</v>
      </c>
      <c r="N25" s="43">
        <v>640155.98829999997</v>
      </c>
      <c r="O25" s="43">
        <v>128770.02069999999</v>
      </c>
      <c r="P25" s="43">
        <v>100728.9803</v>
      </c>
      <c r="Q25" s="43">
        <v>37563.751029999999</v>
      </c>
      <c r="R25" s="43">
        <v>165707.02059999999</v>
      </c>
      <c r="S25" s="34">
        <v>33754.421997070298</v>
      </c>
    </row>
    <row r="26" spans="1:19">
      <c r="A26" s="52">
        <v>42283</v>
      </c>
      <c r="B26" s="46">
        <v>0.4</v>
      </c>
      <c r="C26" s="57">
        <v>3.7</v>
      </c>
      <c r="D26" s="46">
        <v>0.5</v>
      </c>
      <c r="E26" s="46">
        <v>0.3</v>
      </c>
      <c r="F26" s="46">
        <v>0.5</v>
      </c>
      <c r="G26" s="46" t="s">
        <v>107</v>
      </c>
      <c r="H26" s="46">
        <v>0.8</v>
      </c>
      <c r="I26" s="46">
        <v>2.6</v>
      </c>
      <c r="J26" s="46">
        <v>3.4</v>
      </c>
      <c r="K26" s="44">
        <v>42283.208333333336</v>
      </c>
      <c r="L26" s="43">
        <v>71900.07591</v>
      </c>
      <c r="M26" s="43">
        <v>476012.7892</v>
      </c>
      <c r="N26" s="43">
        <v>642346.83380000002</v>
      </c>
      <c r="O26" s="43">
        <v>179480.02650000001</v>
      </c>
      <c r="P26" s="43">
        <v>156831.23819999999</v>
      </c>
      <c r="Q26" s="43">
        <v>35733.734320000003</v>
      </c>
      <c r="R26" s="43">
        <v>101979.681</v>
      </c>
      <c r="S26" s="34">
        <v>29762.872695922899</v>
      </c>
    </row>
    <row r="27" spans="1:19">
      <c r="A27" s="52">
        <v>42283</v>
      </c>
      <c r="B27" s="46">
        <v>0.5</v>
      </c>
      <c r="C27" s="57">
        <v>6.9</v>
      </c>
      <c r="D27" s="46">
        <v>0.2</v>
      </c>
      <c r="E27" s="46">
        <v>0.1</v>
      </c>
      <c r="F27" s="46">
        <v>0.5</v>
      </c>
      <c r="G27" s="46" t="s">
        <v>107</v>
      </c>
      <c r="H27" s="46">
        <v>0.8</v>
      </c>
      <c r="I27" s="46">
        <v>1.5</v>
      </c>
      <c r="J27" s="47">
        <v>2.9</v>
      </c>
      <c r="K27" s="44">
        <v>42283.291666666664</v>
      </c>
      <c r="L27" s="43">
        <v>114841.8217</v>
      </c>
      <c r="M27" s="43">
        <v>476623.82809999998</v>
      </c>
      <c r="N27" s="43">
        <v>684742.14020000002</v>
      </c>
      <c r="O27" s="43">
        <v>338616.9645</v>
      </c>
      <c r="P27" s="43">
        <v>276497.92560000002</v>
      </c>
      <c r="Q27" s="43">
        <v>52231.024360000003</v>
      </c>
      <c r="R27" s="43">
        <v>49537.549209999997</v>
      </c>
      <c r="S27" s="34">
        <v>38843.498611450203</v>
      </c>
    </row>
    <row r="28" spans="1:19">
      <c r="A28" s="52">
        <v>42283</v>
      </c>
      <c r="B28" s="46">
        <v>0.1</v>
      </c>
      <c r="C28" s="57">
        <v>1.6</v>
      </c>
      <c r="D28" s="46">
        <v>0.5</v>
      </c>
      <c r="E28" s="46">
        <v>0.3</v>
      </c>
      <c r="F28" s="46">
        <v>0.1</v>
      </c>
      <c r="G28" s="46" t="s">
        <v>107</v>
      </c>
      <c r="H28" s="46">
        <v>0.8</v>
      </c>
      <c r="I28" s="46">
        <v>1.5</v>
      </c>
      <c r="J28" s="47">
        <v>1.9</v>
      </c>
      <c r="K28" s="44">
        <v>42283.375</v>
      </c>
      <c r="L28" s="43">
        <v>158150.51420000001</v>
      </c>
      <c r="M28" s="43">
        <v>648976.79099999997</v>
      </c>
      <c r="N28" s="43">
        <v>928350.86170000001</v>
      </c>
      <c r="O28" s="43">
        <v>362348.65379999997</v>
      </c>
      <c r="P28" s="43">
        <v>303437.28100000002</v>
      </c>
      <c r="Q28" s="43">
        <v>67879.6875</v>
      </c>
      <c r="R28" s="43">
        <v>129416.51119999999</v>
      </c>
      <c r="S28" s="34">
        <v>48666.5256500244</v>
      </c>
    </row>
    <row r="29" spans="1:19">
      <c r="A29" s="52">
        <v>42283</v>
      </c>
      <c r="B29" s="46">
        <v>0.2</v>
      </c>
      <c r="C29" s="57">
        <v>2.9</v>
      </c>
      <c r="D29" s="46">
        <v>0.6</v>
      </c>
      <c r="E29" s="46">
        <v>0.3</v>
      </c>
      <c r="F29" s="46" t="s">
        <v>107</v>
      </c>
      <c r="G29" s="46" t="s">
        <v>107</v>
      </c>
      <c r="H29" s="46">
        <v>0.5</v>
      </c>
      <c r="I29" s="46">
        <v>1.1000000000000001</v>
      </c>
      <c r="J29" s="46">
        <v>1</v>
      </c>
      <c r="K29" s="44">
        <v>42283.458333333336</v>
      </c>
      <c r="L29" s="43">
        <v>133989.1171</v>
      </c>
      <c r="M29" s="43">
        <v>611322.98470000003</v>
      </c>
      <c r="N29" s="43">
        <v>877301.98860000004</v>
      </c>
      <c r="O29" s="43">
        <v>356116.20770000003</v>
      </c>
      <c r="P29" s="43">
        <v>289972.09399999998</v>
      </c>
      <c r="Q29" s="43">
        <v>64055.920030000001</v>
      </c>
      <c r="R29" s="43">
        <v>136085.21580000001</v>
      </c>
      <c r="S29" s="34">
        <v>47972.728729248003</v>
      </c>
    </row>
    <row r="30" spans="1:19">
      <c r="A30" s="52">
        <v>42283</v>
      </c>
      <c r="B30" s="46">
        <v>0.3</v>
      </c>
      <c r="C30" s="57">
        <v>3.5</v>
      </c>
      <c r="D30" s="46">
        <v>0.6</v>
      </c>
      <c r="E30" s="46">
        <v>0.6</v>
      </c>
      <c r="F30" s="46">
        <v>0.1</v>
      </c>
      <c r="G30" s="46" t="s">
        <v>107</v>
      </c>
      <c r="H30" s="46">
        <v>0.9</v>
      </c>
      <c r="I30" s="46">
        <v>1.5</v>
      </c>
      <c r="J30" s="46">
        <v>1.4</v>
      </c>
      <c r="K30" s="44">
        <v>42283.541666666664</v>
      </c>
      <c r="L30" s="43">
        <v>117959.8137</v>
      </c>
      <c r="M30" s="43">
        <v>569558.31759999995</v>
      </c>
      <c r="N30" s="43">
        <v>824203.11809999996</v>
      </c>
      <c r="O30" s="43">
        <v>291188.83669999999</v>
      </c>
      <c r="P30" s="43">
        <v>233825.26930000001</v>
      </c>
      <c r="Q30" s="43">
        <v>53010.174749999998</v>
      </c>
      <c r="R30" s="43">
        <v>130600.67600000001</v>
      </c>
      <c r="S30" s="34">
        <v>47076.021194458001</v>
      </c>
    </row>
    <row r="31" spans="1:19">
      <c r="A31" s="52">
        <v>42283</v>
      </c>
      <c r="B31" s="46">
        <v>0.5</v>
      </c>
      <c r="C31" s="57">
        <v>2.7</v>
      </c>
      <c r="D31" s="46">
        <v>0.2</v>
      </c>
      <c r="E31" s="46">
        <v>0.5</v>
      </c>
      <c r="F31" s="46" t="s">
        <v>107</v>
      </c>
      <c r="G31" s="46">
        <v>0.3</v>
      </c>
      <c r="H31" s="46">
        <v>0.8</v>
      </c>
      <c r="I31" s="46">
        <v>1.9</v>
      </c>
      <c r="J31" s="46">
        <v>2.4</v>
      </c>
      <c r="K31" s="44">
        <v>42283.625</v>
      </c>
      <c r="L31" s="43">
        <v>119424.5316</v>
      </c>
      <c r="M31" s="43">
        <v>596697.11609999998</v>
      </c>
      <c r="N31" s="43">
        <v>948893.1152</v>
      </c>
      <c r="O31" s="43">
        <v>216755.01819999999</v>
      </c>
      <c r="P31" s="43">
        <v>163175.2556</v>
      </c>
      <c r="Q31" s="43">
        <v>53849.969669999999</v>
      </c>
      <c r="R31" s="43">
        <v>133843.92240000001</v>
      </c>
      <c r="S31" s="34">
        <v>51420.774078369097</v>
      </c>
    </row>
    <row r="32" spans="1:19">
      <c r="A32" s="52">
        <v>42283</v>
      </c>
      <c r="B32" s="48">
        <v>0.2</v>
      </c>
      <c r="C32" s="58">
        <v>3.3</v>
      </c>
      <c r="D32" s="48">
        <v>0.4</v>
      </c>
      <c r="E32" s="48">
        <v>0.1</v>
      </c>
      <c r="F32" s="48">
        <v>0.3</v>
      </c>
      <c r="G32" s="48" t="s">
        <v>107</v>
      </c>
      <c r="H32" s="48">
        <v>1.3</v>
      </c>
      <c r="I32" s="48">
        <v>1.2</v>
      </c>
      <c r="J32" s="48">
        <v>2</v>
      </c>
      <c r="K32" s="44">
        <v>42283.708333333336</v>
      </c>
      <c r="L32" s="43">
        <v>119055.6948</v>
      </c>
      <c r="M32" s="43">
        <v>761744.13809999998</v>
      </c>
      <c r="N32" s="43">
        <v>984510.49399999995</v>
      </c>
      <c r="O32" s="43">
        <v>187634.27239999999</v>
      </c>
      <c r="P32" s="43">
        <v>136730.86170000001</v>
      </c>
      <c r="Q32" s="43">
        <v>54513.439180000001</v>
      </c>
      <c r="R32" s="43">
        <v>133395.66990000001</v>
      </c>
      <c r="S32" s="34">
        <v>50923.186111450203</v>
      </c>
    </row>
    <row r="33" spans="1:19">
      <c r="A33" s="52">
        <v>42283</v>
      </c>
      <c r="B33" s="46">
        <v>0.2</v>
      </c>
      <c r="C33" s="57">
        <v>2.5</v>
      </c>
      <c r="D33" s="46" t="s">
        <v>107</v>
      </c>
      <c r="E33" s="46">
        <v>0.3</v>
      </c>
      <c r="F33" s="46" t="s">
        <v>107</v>
      </c>
      <c r="G33" s="46" t="s">
        <v>107</v>
      </c>
      <c r="H33" s="46">
        <v>0.4</v>
      </c>
      <c r="I33" s="46">
        <v>1.4</v>
      </c>
      <c r="J33" s="46">
        <v>1.6</v>
      </c>
      <c r="K33" s="44">
        <v>42283.791666666664</v>
      </c>
      <c r="L33" s="43">
        <v>145710.6966</v>
      </c>
      <c r="M33" s="43">
        <v>635641.87950000004</v>
      </c>
      <c r="N33" s="43">
        <v>891313.94979999994</v>
      </c>
      <c r="O33" s="43">
        <v>394846.19179999997</v>
      </c>
      <c r="P33" s="43">
        <v>302057.22659999999</v>
      </c>
      <c r="Q33" s="43">
        <v>65449.158100000001</v>
      </c>
      <c r="R33" s="43">
        <v>130758.87910000001</v>
      </c>
      <c r="S33" s="34">
        <v>57442.898941040003</v>
      </c>
    </row>
    <row r="34" spans="1:19">
      <c r="A34" s="52">
        <v>42283</v>
      </c>
      <c r="B34" s="46">
        <v>0.4</v>
      </c>
      <c r="C34" s="57">
        <v>2.2999999999999998</v>
      </c>
      <c r="D34" s="46">
        <v>0.4</v>
      </c>
      <c r="E34" s="46">
        <v>0.1</v>
      </c>
      <c r="F34" s="46">
        <v>0.2</v>
      </c>
      <c r="G34" s="46" t="s">
        <v>107</v>
      </c>
      <c r="H34" s="46">
        <v>0.8</v>
      </c>
      <c r="I34" s="46">
        <v>1.6</v>
      </c>
      <c r="J34" s="46">
        <v>1.9</v>
      </c>
      <c r="K34" s="44">
        <v>42283.875</v>
      </c>
      <c r="L34" s="43">
        <v>156920.5055</v>
      </c>
      <c r="M34" s="43">
        <v>748278.78110000002</v>
      </c>
      <c r="N34" s="43">
        <v>972328.14789999998</v>
      </c>
      <c r="O34" s="43">
        <v>379090.54070000001</v>
      </c>
      <c r="P34" s="43">
        <v>288737.96539999999</v>
      </c>
      <c r="Q34" s="43">
        <v>66280.51758</v>
      </c>
      <c r="R34" s="43">
        <v>181707.10370000001</v>
      </c>
      <c r="S34" s="34">
        <v>57037.263107299797</v>
      </c>
    </row>
    <row r="35" spans="1:19">
      <c r="A35" s="52">
        <v>42283</v>
      </c>
      <c r="B35" s="46">
        <v>0.5</v>
      </c>
      <c r="C35" s="57">
        <v>2.2000000000000002</v>
      </c>
      <c r="D35" s="46">
        <v>0.3</v>
      </c>
      <c r="E35" s="46">
        <v>0.5</v>
      </c>
      <c r="F35" s="46">
        <v>0.2</v>
      </c>
      <c r="G35" s="46" t="s">
        <v>107</v>
      </c>
      <c r="H35" s="46">
        <v>0.6</v>
      </c>
      <c r="I35" s="46">
        <v>1.2</v>
      </c>
      <c r="J35" s="46">
        <v>1.9</v>
      </c>
      <c r="K35" s="44">
        <v>42283.958333333336</v>
      </c>
      <c r="L35" s="43">
        <v>177746.63889999999</v>
      </c>
      <c r="M35" s="43">
        <v>807288.18629999994</v>
      </c>
      <c r="N35" s="43">
        <v>1145997.3899999999</v>
      </c>
      <c r="O35" s="43">
        <v>430364.34860000003</v>
      </c>
      <c r="P35" s="43">
        <v>334714.45079999999</v>
      </c>
      <c r="Q35" s="43">
        <v>86505.46875</v>
      </c>
      <c r="R35" s="43">
        <v>182765.37549999999</v>
      </c>
      <c r="S35" s="34">
        <v>65980.405426025405</v>
      </c>
    </row>
    <row r="36" spans="1:19">
      <c r="A36" s="52">
        <v>42284</v>
      </c>
      <c r="B36" s="46">
        <v>0.5</v>
      </c>
      <c r="C36" s="57">
        <v>1.7</v>
      </c>
      <c r="D36" s="46">
        <v>0.3</v>
      </c>
      <c r="E36" s="46">
        <v>0.6</v>
      </c>
      <c r="F36" s="46">
        <v>0.2</v>
      </c>
      <c r="G36" s="46" t="s">
        <v>107</v>
      </c>
      <c r="H36" s="46">
        <v>0.9</v>
      </c>
      <c r="I36" s="46">
        <v>1.5</v>
      </c>
      <c r="J36" s="46">
        <v>2.2000000000000002</v>
      </c>
      <c r="K36" s="44">
        <v>42284.041666666664</v>
      </c>
      <c r="L36" s="43">
        <v>123731.39019999999</v>
      </c>
      <c r="M36" s="43">
        <v>665879.18299999996</v>
      </c>
      <c r="N36" s="43">
        <v>889428.10880000005</v>
      </c>
      <c r="O36" s="43">
        <v>289598.18459999998</v>
      </c>
      <c r="P36" s="43">
        <v>230036.8401</v>
      </c>
      <c r="Q36" s="43">
        <v>56925.439449999998</v>
      </c>
      <c r="R36" s="43">
        <v>183480.21470000001</v>
      </c>
      <c r="S36" s="34">
        <v>46997.286987304702</v>
      </c>
    </row>
    <row r="37" spans="1:19">
      <c r="A37" s="52">
        <v>42284</v>
      </c>
      <c r="B37" s="46">
        <v>0.3</v>
      </c>
      <c r="C37" s="57">
        <v>0.6</v>
      </c>
      <c r="D37" s="46">
        <v>0.1</v>
      </c>
      <c r="E37" s="46">
        <v>0.5</v>
      </c>
      <c r="F37" s="46">
        <v>0.2</v>
      </c>
      <c r="G37" s="47" t="s">
        <v>107</v>
      </c>
      <c r="H37" s="46">
        <v>0.5</v>
      </c>
      <c r="I37" s="46">
        <v>0.6</v>
      </c>
      <c r="J37" s="46">
        <v>1.9</v>
      </c>
      <c r="K37" s="44">
        <v>42284.125</v>
      </c>
      <c r="L37" s="43">
        <v>79332.921700000006</v>
      </c>
      <c r="M37" s="43">
        <v>530995.91189999995</v>
      </c>
      <c r="N37" s="43">
        <v>691248.03509999998</v>
      </c>
      <c r="O37" s="43">
        <v>181462.53260000001</v>
      </c>
      <c r="P37" s="43">
        <v>151666.6992</v>
      </c>
      <c r="Q37" s="43">
        <v>37556.433109999998</v>
      </c>
      <c r="R37" s="43">
        <v>170281.8615</v>
      </c>
      <c r="S37" s="34">
        <v>35214.196014404297</v>
      </c>
    </row>
    <row r="38" spans="1:19">
      <c r="A38" s="52">
        <v>42284</v>
      </c>
      <c r="B38" s="46">
        <v>0.3</v>
      </c>
      <c r="C38" s="57">
        <v>0.5</v>
      </c>
      <c r="D38" s="46">
        <v>0.2</v>
      </c>
      <c r="E38" s="46">
        <v>0.2</v>
      </c>
      <c r="F38" s="46">
        <v>0.4</v>
      </c>
      <c r="G38" s="46" t="s">
        <v>107</v>
      </c>
      <c r="H38" s="46">
        <v>0.6</v>
      </c>
      <c r="I38" s="46">
        <v>2.2999999999999998</v>
      </c>
      <c r="J38" s="46">
        <v>1.6</v>
      </c>
      <c r="K38" s="44">
        <v>42284.208333333336</v>
      </c>
      <c r="L38" s="43">
        <v>74901.570800000001</v>
      </c>
      <c r="M38" s="43">
        <v>307008.35869999998</v>
      </c>
      <c r="N38" s="43">
        <v>449225.58319999999</v>
      </c>
      <c r="O38" s="43">
        <v>96552.608300000007</v>
      </c>
      <c r="P38" s="43">
        <v>73164.197159999996</v>
      </c>
      <c r="Q38" s="43">
        <v>36642.810060000003</v>
      </c>
      <c r="R38" s="43">
        <v>98966.99295</v>
      </c>
      <c r="S38" s="34">
        <v>24901.274871826201</v>
      </c>
    </row>
    <row r="39" spans="1:19">
      <c r="A39" s="52">
        <v>42284</v>
      </c>
      <c r="B39" s="46">
        <v>0.4</v>
      </c>
      <c r="C39" s="57">
        <v>1.4</v>
      </c>
      <c r="D39" s="46">
        <v>0.2</v>
      </c>
      <c r="E39" s="46">
        <v>0.4</v>
      </c>
      <c r="F39" s="46">
        <v>0.2</v>
      </c>
      <c r="G39" s="46" t="s">
        <v>107</v>
      </c>
      <c r="H39" s="46">
        <v>0.4</v>
      </c>
      <c r="I39" s="46">
        <v>0.9</v>
      </c>
      <c r="J39" s="46">
        <v>1.8</v>
      </c>
      <c r="K39" s="44">
        <v>42284.291666666664</v>
      </c>
      <c r="L39" s="43">
        <v>117872.51360000001</v>
      </c>
      <c r="M39" s="43">
        <v>500796.7403</v>
      </c>
      <c r="N39" s="43">
        <v>675627.01379999996</v>
      </c>
      <c r="O39" s="43">
        <v>207333.09</v>
      </c>
      <c r="P39" s="43">
        <v>155994.6053</v>
      </c>
      <c r="Q39" s="43">
        <v>54006.591800000002</v>
      </c>
      <c r="R39" s="43">
        <v>48121.590040000003</v>
      </c>
      <c r="S39" s="34">
        <v>37672.150039672902</v>
      </c>
    </row>
    <row r="40" spans="1:19">
      <c r="A40" s="53">
        <v>42284</v>
      </c>
      <c r="B40" s="49">
        <v>0.4</v>
      </c>
      <c r="C40" s="59">
        <v>2.4</v>
      </c>
      <c r="D40" s="49">
        <v>0.3</v>
      </c>
      <c r="E40" s="49">
        <v>0.3</v>
      </c>
      <c r="F40" s="49">
        <v>0.3</v>
      </c>
      <c r="G40" s="49" t="s">
        <v>107</v>
      </c>
      <c r="H40" s="49">
        <v>0.9</v>
      </c>
      <c r="I40" s="49">
        <v>1.2</v>
      </c>
      <c r="J40" s="69">
        <v>0.7</v>
      </c>
      <c r="K40" s="44">
        <v>42284.375</v>
      </c>
      <c r="L40" s="43">
        <v>145607.1024</v>
      </c>
      <c r="M40" s="43">
        <v>622327.76809999999</v>
      </c>
      <c r="N40" s="43">
        <v>848544.00269999995</v>
      </c>
      <c r="O40" s="43">
        <v>322932.62329999998</v>
      </c>
      <c r="P40" s="43">
        <v>254940.11309999999</v>
      </c>
      <c r="Q40" s="43">
        <v>65628.588870000007</v>
      </c>
      <c r="R40" s="43">
        <v>131497.18090000001</v>
      </c>
      <c r="S40" s="34">
        <v>48989.533996582002</v>
      </c>
    </row>
    <row r="41" spans="1:19">
      <c r="B41" s="43">
        <f t="shared" ref="B41:J41" si="0">AVERAGE(B4:B40)</f>
        <v>0.39444444444444454</v>
      </c>
      <c r="C41" s="55">
        <f t="shared" si="0"/>
        <v>2.7810810810810818</v>
      </c>
      <c r="D41" s="43">
        <f t="shared" si="0"/>
        <v>0.60000000000000009</v>
      </c>
      <c r="E41" s="43">
        <f t="shared" si="0"/>
        <v>0.5</v>
      </c>
      <c r="F41" s="43">
        <f t="shared" si="0"/>
        <v>0.32187499999999991</v>
      </c>
      <c r="G41" s="43">
        <f t="shared" si="0"/>
        <v>0.26842105263157895</v>
      </c>
      <c r="H41" s="43">
        <f t="shared" si="0"/>
        <v>0.83055555555555549</v>
      </c>
      <c r="I41" s="43">
        <f t="shared" si="0"/>
        <v>1.637837837837838</v>
      </c>
      <c r="J41" s="43">
        <f t="shared" si="0"/>
        <v>1.8243243243243243</v>
      </c>
      <c r="K41" s="43"/>
    </row>
    <row r="42" spans="1:19">
      <c r="B42" s="43">
        <f t="shared" ref="B42:J42" si="1">MIN(B4:B40)</f>
        <v>0.1</v>
      </c>
      <c r="C42" s="55">
        <f t="shared" si="1"/>
        <v>0.3</v>
      </c>
      <c r="D42" s="43">
        <f t="shared" si="1"/>
        <v>0.1</v>
      </c>
      <c r="E42" s="43">
        <f t="shared" si="1"/>
        <v>0.1</v>
      </c>
      <c r="F42" s="43">
        <f t="shared" si="1"/>
        <v>0.1</v>
      </c>
      <c r="G42" s="43">
        <f t="shared" si="1"/>
        <v>0.1</v>
      </c>
      <c r="H42" s="43">
        <f t="shared" si="1"/>
        <v>0.2</v>
      </c>
      <c r="I42" s="43">
        <f t="shared" si="1"/>
        <v>0.3</v>
      </c>
      <c r="J42" s="43">
        <f t="shared" si="1"/>
        <v>0.2</v>
      </c>
      <c r="K42" s="43"/>
    </row>
    <row r="43" spans="1:19">
      <c r="B43" s="43">
        <f t="shared" ref="B43:J43" si="2">MAX(B4:B40)</f>
        <v>0.8</v>
      </c>
      <c r="C43" s="55">
        <f t="shared" si="2"/>
        <v>6.9</v>
      </c>
      <c r="D43" s="43">
        <f t="shared" si="2"/>
        <v>1.9</v>
      </c>
      <c r="E43" s="43">
        <f t="shared" si="2"/>
        <v>1.2</v>
      </c>
      <c r="F43" s="43">
        <f t="shared" si="2"/>
        <v>0.8</v>
      </c>
      <c r="G43" s="43">
        <f t="shared" si="2"/>
        <v>0.7</v>
      </c>
      <c r="H43" s="43">
        <f t="shared" si="2"/>
        <v>1.4</v>
      </c>
      <c r="I43" s="43">
        <f t="shared" si="2"/>
        <v>3.3</v>
      </c>
      <c r="J43" s="43">
        <f t="shared" si="2"/>
        <v>4</v>
      </c>
      <c r="K43" s="43"/>
    </row>
    <row r="44" spans="1:19">
      <c r="B44" s="43">
        <f t="shared" ref="B44:J44" si="3">AVERAGE(B4:B40)</f>
        <v>0.39444444444444454</v>
      </c>
      <c r="C44" s="55">
        <f t="shared" si="3"/>
        <v>2.7810810810810818</v>
      </c>
      <c r="D44" s="43">
        <f>AVERAGE(D4:D40)</f>
        <v>0.60000000000000009</v>
      </c>
      <c r="E44" s="43">
        <f t="shared" si="3"/>
        <v>0.5</v>
      </c>
      <c r="F44" s="43">
        <f t="shared" si="3"/>
        <v>0.32187499999999991</v>
      </c>
      <c r="G44" s="43">
        <f t="shared" si="3"/>
        <v>0.26842105263157895</v>
      </c>
      <c r="H44" s="43">
        <f t="shared" si="3"/>
        <v>0.83055555555555549</v>
      </c>
      <c r="I44" s="43">
        <f t="shared" si="3"/>
        <v>1.637837837837838</v>
      </c>
      <c r="J44" s="43">
        <f t="shared" si="3"/>
        <v>1.8243243243243243</v>
      </c>
      <c r="K44" s="43"/>
    </row>
    <row r="45" spans="1:19">
      <c r="B45" s="43">
        <f t="shared" ref="B45:J45" si="4">MIN(B4:B40)</f>
        <v>0.1</v>
      </c>
      <c r="C45" s="55">
        <f t="shared" si="4"/>
        <v>0.3</v>
      </c>
      <c r="D45" s="43">
        <f>MIN(D4:D40)</f>
        <v>0.1</v>
      </c>
      <c r="E45" s="43">
        <f t="shared" si="4"/>
        <v>0.1</v>
      </c>
      <c r="F45" s="43">
        <f t="shared" si="4"/>
        <v>0.1</v>
      </c>
      <c r="G45" s="43">
        <f t="shared" si="4"/>
        <v>0.1</v>
      </c>
      <c r="H45" s="43">
        <f t="shared" si="4"/>
        <v>0.2</v>
      </c>
      <c r="I45" s="43">
        <f t="shared" si="4"/>
        <v>0.3</v>
      </c>
      <c r="J45" s="43">
        <f t="shared" si="4"/>
        <v>0.2</v>
      </c>
      <c r="K45" s="43"/>
    </row>
    <row r="46" spans="1:19">
      <c r="B46" s="43">
        <f t="shared" ref="B46:J46" si="5">MAX(B4:B40)</f>
        <v>0.8</v>
      </c>
      <c r="C46" s="55">
        <f t="shared" si="5"/>
        <v>6.9</v>
      </c>
      <c r="D46" s="43">
        <f>MAX(D4:D40)</f>
        <v>1.9</v>
      </c>
      <c r="E46" s="43">
        <f t="shared" si="5"/>
        <v>1.2</v>
      </c>
      <c r="F46" s="43">
        <f t="shared" si="5"/>
        <v>0.8</v>
      </c>
      <c r="G46" s="43">
        <f t="shared" si="5"/>
        <v>0.7</v>
      </c>
      <c r="H46" s="43">
        <f t="shared" si="5"/>
        <v>1.4</v>
      </c>
      <c r="I46" s="43">
        <f t="shared" si="5"/>
        <v>3.3</v>
      </c>
      <c r="J46" s="43">
        <f t="shared" si="5"/>
        <v>4</v>
      </c>
      <c r="K46" s="4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3D1C-9A90-46C2-A437-73E9F83E1619}">
  <dimension ref="A1:H4"/>
  <sheetViews>
    <sheetView tabSelected="1" workbookViewId="0">
      <selection activeCell="O9" sqref="O9"/>
    </sheetView>
  </sheetViews>
  <sheetFormatPr defaultRowHeight="14.5"/>
  <sheetData>
    <row r="1" spans="1:8">
      <c r="B1" s="8" t="s">
        <v>77</v>
      </c>
      <c r="C1" s="8" t="s">
        <v>78</v>
      </c>
      <c r="D1" s="8" t="s">
        <v>79</v>
      </c>
      <c r="E1" s="8" t="s">
        <v>80</v>
      </c>
      <c r="F1" s="8" t="s">
        <v>81</v>
      </c>
      <c r="G1" s="8" t="s">
        <v>83</v>
      </c>
      <c r="H1" s="8" t="s">
        <v>84</v>
      </c>
    </row>
    <row r="2" spans="1:8">
      <c r="A2" s="8" t="s">
        <v>110</v>
      </c>
      <c r="B2" s="8" t="s">
        <v>111</v>
      </c>
      <c r="C2" s="8" t="s">
        <v>112</v>
      </c>
      <c r="D2" s="8" t="s">
        <v>113</v>
      </c>
      <c r="E2" s="8" t="s">
        <v>114</v>
      </c>
      <c r="F2" s="8" t="s">
        <v>115</v>
      </c>
      <c r="G2" s="8" t="s">
        <v>116</v>
      </c>
      <c r="H2" s="8" t="s">
        <v>117</v>
      </c>
    </row>
    <row r="3" spans="1:8">
      <c r="A3" s="8" t="s">
        <v>108</v>
      </c>
      <c r="B3" t="s">
        <v>86</v>
      </c>
      <c r="C3" t="s">
        <v>109</v>
      </c>
      <c r="D3" s="8" t="s">
        <v>119</v>
      </c>
      <c r="E3" s="8" t="s">
        <v>89</v>
      </c>
      <c r="F3" t="s">
        <v>120</v>
      </c>
      <c r="G3" s="8" t="s">
        <v>121</v>
      </c>
      <c r="H3" t="s">
        <v>122</v>
      </c>
    </row>
    <row r="4" spans="1:8">
      <c r="A4" s="8" t="s">
        <v>118</v>
      </c>
      <c r="B4">
        <v>4.5599999999999996</v>
      </c>
      <c r="C4">
        <v>4.28</v>
      </c>
      <c r="D4">
        <v>5.93</v>
      </c>
      <c r="E4">
        <v>4.9400000000000004</v>
      </c>
      <c r="F4">
        <v>5.34</v>
      </c>
      <c r="G4">
        <v>3.17</v>
      </c>
      <c r="H4">
        <v>1.04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8B6F-492C-44D2-B937-40BF688A2D33}">
  <dimension ref="A1:N40"/>
  <sheetViews>
    <sheetView workbookViewId="0">
      <selection activeCell="F3" sqref="F3"/>
    </sheetView>
  </sheetViews>
  <sheetFormatPr defaultRowHeight="14.5"/>
  <cols>
    <col min="1" max="1" width="14.6328125" bestFit="1" customWidth="1"/>
    <col min="2" max="2" width="16.36328125" bestFit="1" customWidth="1"/>
    <col min="3" max="3" width="15.6328125" bestFit="1" customWidth="1"/>
    <col min="4" max="4" width="17.6328125" bestFit="1" customWidth="1"/>
    <col min="5" max="5" width="19.453125" bestFit="1" customWidth="1"/>
    <col min="6" max="6" width="17" bestFit="1" customWidth="1"/>
    <col min="7" max="9" width="17" customWidth="1"/>
  </cols>
  <sheetData>
    <row r="1" spans="1:14">
      <c r="B1" t="s">
        <v>99</v>
      </c>
      <c r="C1" s="63" t="s">
        <v>102</v>
      </c>
      <c r="D1" s="63" t="s">
        <v>101</v>
      </c>
      <c r="E1" t="s">
        <v>105</v>
      </c>
      <c r="F1" t="s">
        <v>106</v>
      </c>
    </row>
    <row r="2" spans="1:14">
      <c r="A2" s="43" t="s">
        <v>82</v>
      </c>
      <c r="B2" s="43" t="s">
        <v>77</v>
      </c>
      <c r="C2" s="43" t="s">
        <v>78</v>
      </c>
      <c r="D2" s="43" t="s">
        <v>79</v>
      </c>
      <c r="E2" s="43" t="s">
        <v>80</v>
      </c>
      <c r="F2" s="43" t="s">
        <v>81</v>
      </c>
      <c r="G2" s="43"/>
      <c r="H2" s="43"/>
      <c r="I2" s="43"/>
      <c r="J2" s="43" t="s">
        <v>77</v>
      </c>
      <c r="K2" s="43" t="s">
        <v>78</v>
      </c>
      <c r="L2" s="43" t="s">
        <v>79</v>
      </c>
      <c r="M2" s="43" t="s">
        <v>80</v>
      </c>
      <c r="N2" s="43" t="s">
        <v>81</v>
      </c>
    </row>
    <row r="3" spans="1:14">
      <c r="A3" s="43" t="s">
        <v>85</v>
      </c>
      <c r="B3" s="43" t="s">
        <v>86</v>
      </c>
      <c r="C3" s="43" t="s">
        <v>87</v>
      </c>
      <c r="D3" s="34" t="s">
        <v>88</v>
      </c>
      <c r="E3" s="43" t="s">
        <v>89</v>
      </c>
      <c r="F3" s="43" t="s">
        <v>90</v>
      </c>
      <c r="G3" s="43"/>
      <c r="H3" s="43"/>
      <c r="I3" s="43"/>
      <c r="J3" s="43" t="s">
        <v>86</v>
      </c>
      <c r="K3" s="43" t="s">
        <v>87</v>
      </c>
      <c r="L3" s="43" t="s">
        <v>88</v>
      </c>
      <c r="M3" s="43" t="s">
        <v>89</v>
      </c>
      <c r="N3" s="43" t="s">
        <v>90</v>
      </c>
    </row>
    <row r="4" spans="1:14">
      <c r="A4" s="72">
        <v>42281.375</v>
      </c>
      <c r="B4" s="73">
        <v>0.05</v>
      </c>
      <c r="C4" s="73">
        <v>0.05</v>
      </c>
      <c r="D4" s="73">
        <v>0.05</v>
      </c>
      <c r="E4" s="73">
        <v>0.05</v>
      </c>
      <c r="F4" s="45">
        <v>0.3</v>
      </c>
      <c r="G4" s="74"/>
      <c r="H4" s="74"/>
      <c r="I4" s="74"/>
      <c r="J4" s="73">
        <v>142160.28270000001</v>
      </c>
      <c r="K4" s="73">
        <v>670577.44499999995</v>
      </c>
      <c r="L4" s="73">
        <v>971020.99970000004</v>
      </c>
      <c r="M4" s="73">
        <v>521101.94660000002</v>
      </c>
      <c r="N4" s="73">
        <v>463363.23389999999</v>
      </c>
    </row>
    <row r="5" spans="1:14">
      <c r="A5" s="72">
        <v>42281.458333333336</v>
      </c>
      <c r="B5" s="73">
        <v>0.3</v>
      </c>
      <c r="C5" s="73">
        <v>1.2</v>
      </c>
      <c r="D5" s="73">
        <v>0.05</v>
      </c>
      <c r="E5" s="73">
        <v>0.2</v>
      </c>
      <c r="F5" s="45">
        <v>0.3</v>
      </c>
      <c r="G5" s="74"/>
      <c r="H5" s="74"/>
      <c r="I5" s="74"/>
      <c r="J5" s="73">
        <v>142767.8198</v>
      </c>
      <c r="K5" s="73">
        <v>675014.50710000005</v>
      </c>
      <c r="L5" s="73">
        <v>900790.40969999996</v>
      </c>
      <c r="M5" s="73">
        <v>332942.79210000002</v>
      </c>
      <c r="N5" s="73">
        <v>262298.14449999999</v>
      </c>
    </row>
    <row r="6" spans="1:14">
      <c r="A6" s="72">
        <v>42281.541666666664</v>
      </c>
      <c r="B6" s="73">
        <v>0.4</v>
      </c>
      <c r="C6" s="73">
        <v>0.3</v>
      </c>
      <c r="D6" s="73">
        <v>0.05</v>
      </c>
      <c r="E6" s="73">
        <v>0.3</v>
      </c>
      <c r="F6" s="45">
        <v>0.6</v>
      </c>
      <c r="G6" s="74"/>
      <c r="H6" s="74"/>
      <c r="I6" s="74"/>
      <c r="J6" s="73">
        <v>133951.60560000001</v>
      </c>
      <c r="K6" s="73">
        <v>592812.16850000003</v>
      </c>
      <c r="L6" s="73">
        <v>920698.69189999998</v>
      </c>
      <c r="M6" s="73">
        <v>300776.16749999998</v>
      </c>
      <c r="N6" s="73">
        <v>236214.13649999999</v>
      </c>
    </row>
    <row r="7" spans="1:14">
      <c r="A7" s="72">
        <v>42281.625</v>
      </c>
      <c r="B7" s="73">
        <v>0.3</v>
      </c>
      <c r="C7" s="73">
        <v>0.8</v>
      </c>
      <c r="D7" s="73">
        <v>0.4</v>
      </c>
      <c r="E7" s="73">
        <v>0.4</v>
      </c>
      <c r="F7" s="45">
        <v>0.7</v>
      </c>
      <c r="G7" s="74"/>
      <c r="H7" s="74"/>
      <c r="I7" s="74"/>
      <c r="J7" s="73">
        <v>125552.3947</v>
      </c>
      <c r="K7" s="73">
        <v>620063.82579999999</v>
      </c>
      <c r="L7" s="73">
        <v>970123.05279999995</v>
      </c>
      <c r="M7" s="73">
        <v>287782.86040000001</v>
      </c>
      <c r="N7" s="73">
        <v>226134.4963</v>
      </c>
    </row>
    <row r="8" spans="1:14">
      <c r="A8" s="72">
        <v>42281.708333333336</v>
      </c>
      <c r="B8" s="73">
        <v>0.4</v>
      </c>
      <c r="C8" s="73">
        <v>0.7</v>
      </c>
      <c r="D8" s="73">
        <v>0.7</v>
      </c>
      <c r="E8" s="73">
        <v>0.4</v>
      </c>
      <c r="F8" s="45">
        <v>0.7</v>
      </c>
      <c r="G8" s="74"/>
      <c r="H8" s="74"/>
      <c r="I8" s="74"/>
      <c r="J8" s="73">
        <v>124966.9813</v>
      </c>
      <c r="K8" s="73">
        <v>599971.96710000001</v>
      </c>
      <c r="L8" s="73">
        <v>821388.83799999999</v>
      </c>
      <c r="M8" s="73">
        <v>281939.2942</v>
      </c>
      <c r="N8" s="73">
        <v>222461.01149999999</v>
      </c>
    </row>
    <row r="9" spans="1:14">
      <c r="A9" s="72">
        <v>42281.791666666664</v>
      </c>
      <c r="B9" s="73">
        <v>0.3</v>
      </c>
      <c r="C9" s="73">
        <v>0.5</v>
      </c>
      <c r="D9" s="73">
        <v>0.5</v>
      </c>
      <c r="E9" s="73">
        <v>0.2</v>
      </c>
      <c r="F9" s="45">
        <v>0.4</v>
      </c>
      <c r="G9" s="74"/>
      <c r="H9" s="74"/>
      <c r="I9" s="74"/>
      <c r="J9" s="73">
        <v>146532.97690000001</v>
      </c>
      <c r="K9" s="73">
        <v>665433.38699999999</v>
      </c>
      <c r="L9" s="73">
        <v>888655.89520000003</v>
      </c>
      <c r="M9" s="73">
        <v>308758.6275</v>
      </c>
      <c r="N9" s="73">
        <v>250745.09349999999</v>
      </c>
    </row>
    <row r="10" spans="1:14">
      <c r="A10" s="72">
        <v>42281.875</v>
      </c>
      <c r="B10" s="73">
        <v>0.4</v>
      </c>
      <c r="C10" s="73">
        <v>0.5</v>
      </c>
      <c r="D10" s="73">
        <v>0.2</v>
      </c>
      <c r="E10" s="73">
        <v>0.4</v>
      </c>
      <c r="F10" s="45">
        <v>0.5</v>
      </c>
      <c r="G10" s="74"/>
      <c r="H10" s="74"/>
      <c r="I10" s="74"/>
      <c r="J10" s="73">
        <v>157346.7218</v>
      </c>
      <c r="K10" s="73">
        <v>867860.24380000005</v>
      </c>
      <c r="L10" s="73">
        <v>1085344.1810000001</v>
      </c>
      <c r="M10" s="73">
        <v>366799.85729999997</v>
      </c>
      <c r="N10" s="73">
        <v>277103.85590000002</v>
      </c>
    </row>
    <row r="11" spans="1:14">
      <c r="A11" s="72">
        <v>42281.958333333336</v>
      </c>
      <c r="B11" s="73">
        <v>0.4</v>
      </c>
      <c r="C11" s="73">
        <v>0.7</v>
      </c>
      <c r="D11" s="73">
        <v>0.4</v>
      </c>
      <c r="E11" s="73">
        <v>0.6</v>
      </c>
      <c r="F11" s="45">
        <v>0.6</v>
      </c>
      <c r="G11" s="74"/>
      <c r="H11" s="74"/>
      <c r="I11" s="74"/>
      <c r="J11" s="73">
        <v>177901.84479999999</v>
      </c>
      <c r="K11" s="73">
        <v>779165.61360000004</v>
      </c>
      <c r="L11" s="73">
        <v>1003054.676</v>
      </c>
      <c r="M11" s="73">
        <v>364545.87479999999</v>
      </c>
      <c r="N11" s="73">
        <v>278082.59350000002</v>
      </c>
    </row>
    <row r="12" spans="1:14">
      <c r="A12" s="44">
        <v>42282.041666666664</v>
      </c>
      <c r="B12" s="43">
        <v>0.6</v>
      </c>
      <c r="C12" s="43">
        <v>0.05</v>
      </c>
      <c r="D12" s="43">
        <v>0.8</v>
      </c>
      <c r="E12" s="43">
        <v>0.4</v>
      </c>
      <c r="F12" s="45">
        <v>0.4</v>
      </c>
      <c r="G12" s="74"/>
      <c r="H12" s="74"/>
      <c r="I12" s="74"/>
      <c r="J12" s="43">
        <v>149516.56839999999</v>
      </c>
      <c r="K12" s="43">
        <v>679103.76430000004</v>
      </c>
      <c r="L12" s="43">
        <v>903277.59250000003</v>
      </c>
      <c r="M12" s="43">
        <v>277635.59250000003</v>
      </c>
      <c r="N12" s="43">
        <v>220113.8168</v>
      </c>
    </row>
    <row r="13" spans="1:14">
      <c r="A13" s="44">
        <v>42282.125</v>
      </c>
      <c r="B13" s="43">
        <v>0.4</v>
      </c>
      <c r="C13" s="43">
        <v>0.6</v>
      </c>
      <c r="D13" s="43">
        <v>0.3</v>
      </c>
      <c r="E13" s="43">
        <v>0.3</v>
      </c>
      <c r="F13" s="45">
        <v>0.5</v>
      </c>
      <c r="G13" s="74"/>
      <c r="H13" s="74"/>
      <c r="I13" s="74"/>
      <c r="J13" s="43">
        <v>81335.769650000002</v>
      </c>
      <c r="K13" s="43">
        <v>473330.79300000001</v>
      </c>
      <c r="L13" s="43">
        <v>624075.6912</v>
      </c>
      <c r="M13" s="43">
        <v>174756.21609999999</v>
      </c>
      <c r="N13" s="43">
        <v>147887.23069999999</v>
      </c>
    </row>
    <row r="14" spans="1:14">
      <c r="A14" s="44">
        <v>42282.208333333336</v>
      </c>
      <c r="B14" s="43">
        <v>0.4</v>
      </c>
      <c r="C14" s="43">
        <v>0.8</v>
      </c>
      <c r="D14" s="43">
        <v>0.4</v>
      </c>
      <c r="E14" s="43">
        <v>0.5</v>
      </c>
      <c r="F14" s="45">
        <v>0.6</v>
      </c>
      <c r="G14" s="74"/>
      <c r="H14" s="74"/>
      <c r="I14" s="74"/>
      <c r="J14" s="43">
        <v>70329.441260000007</v>
      </c>
      <c r="K14" s="43">
        <v>318937.93770000001</v>
      </c>
      <c r="L14" s="43">
        <v>445481.45539999998</v>
      </c>
      <c r="M14" s="43">
        <v>81909.956359999996</v>
      </c>
      <c r="N14" s="43">
        <v>59483.978459999998</v>
      </c>
    </row>
    <row r="15" spans="1:14">
      <c r="A15" s="44">
        <v>42282.291666666664</v>
      </c>
      <c r="B15" s="43">
        <v>0.8</v>
      </c>
      <c r="C15" s="43">
        <v>0.2</v>
      </c>
      <c r="D15" s="43">
        <v>1</v>
      </c>
      <c r="E15" s="43">
        <v>0.4</v>
      </c>
      <c r="F15" s="45">
        <v>0.4</v>
      </c>
      <c r="G15" s="74"/>
      <c r="H15" s="74"/>
      <c r="I15" s="74"/>
      <c r="J15" s="43">
        <v>106569.84789999999</v>
      </c>
      <c r="K15" s="43">
        <v>420933.60389999999</v>
      </c>
      <c r="L15" s="43">
        <v>585975.85199999996</v>
      </c>
      <c r="M15" s="43">
        <v>319965.34649999999</v>
      </c>
      <c r="N15" s="43">
        <v>266741.55119999999</v>
      </c>
    </row>
    <row r="16" spans="1:14">
      <c r="A16" s="44">
        <v>42282.375</v>
      </c>
      <c r="B16" s="43">
        <v>0.4</v>
      </c>
      <c r="C16" s="43">
        <v>0.6</v>
      </c>
      <c r="D16" s="43">
        <v>0.2</v>
      </c>
      <c r="E16" s="43">
        <v>0.3</v>
      </c>
      <c r="F16" s="46">
        <v>0.4</v>
      </c>
      <c r="G16" s="65"/>
      <c r="H16" s="65"/>
      <c r="I16" s="65"/>
      <c r="J16" s="43">
        <v>147400.0557</v>
      </c>
      <c r="K16" s="43">
        <v>676261.2476</v>
      </c>
      <c r="L16" s="43">
        <v>903044.37679999997</v>
      </c>
      <c r="M16" s="43">
        <v>328960.78029999998</v>
      </c>
      <c r="N16" s="43">
        <v>258017.69940000001</v>
      </c>
    </row>
    <row r="17" spans="1:14">
      <c r="A17" s="44">
        <v>42282.458333333336</v>
      </c>
      <c r="B17" s="43">
        <v>0.4</v>
      </c>
      <c r="C17" s="43">
        <v>0.5</v>
      </c>
      <c r="D17" s="43">
        <v>0.5</v>
      </c>
      <c r="E17" s="43">
        <v>0.3</v>
      </c>
      <c r="F17" s="46">
        <v>0.5</v>
      </c>
      <c r="G17" s="65"/>
      <c r="H17" s="65"/>
      <c r="I17" s="65"/>
      <c r="J17" s="43">
        <v>134445.10459999999</v>
      </c>
      <c r="K17" s="43">
        <v>596380.92610000004</v>
      </c>
      <c r="L17" s="43">
        <v>924584.90639999998</v>
      </c>
      <c r="M17" s="43">
        <v>341786.00180000003</v>
      </c>
      <c r="N17" s="43">
        <v>280638.62459999998</v>
      </c>
    </row>
    <row r="18" spans="1:14">
      <c r="A18" s="44">
        <v>42282.541666666664</v>
      </c>
      <c r="B18" s="43">
        <v>0.4</v>
      </c>
      <c r="C18" s="43">
        <v>1.1000000000000001</v>
      </c>
      <c r="D18" s="43">
        <v>1.1000000000000001</v>
      </c>
      <c r="E18" s="43">
        <v>0.05</v>
      </c>
      <c r="F18" s="46">
        <v>0.2</v>
      </c>
      <c r="G18" s="65"/>
      <c r="H18" s="65"/>
      <c r="I18" s="65"/>
      <c r="J18" s="43">
        <v>123542.54549999999</v>
      </c>
      <c r="K18" s="43">
        <v>573312.60849999997</v>
      </c>
      <c r="L18" s="43">
        <v>816947.52220000001</v>
      </c>
      <c r="M18" s="43">
        <v>307385.82919999998</v>
      </c>
      <c r="N18" s="43">
        <v>245434.22700000001</v>
      </c>
    </row>
    <row r="19" spans="1:14">
      <c r="A19" s="44">
        <v>42282.625</v>
      </c>
      <c r="B19" s="43">
        <v>0.4</v>
      </c>
      <c r="C19" s="43">
        <v>0.8</v>
      </c>
      <c r="D19" s="43">
        <v>1.1000000000000001</v>
      </c>
      <c r="E19" s="43">
        <v>0.2</v>
      </c>
      <c r="F19" s="46">
        <v>0.4</v>
      </c>
      <c r="G19" s="65"/>
      <c r="H19" s="65"/>
      <c r="I19" s="65"/>
      <c r="J19" s="43">
        <v>118349.8833</v>
      </c>
      <c r="K19" s="43">
        <v>547333.28130000003</v>
      </c>
      <c r="L19" s="43">
        <v>787228.27720000001</v>
      </c>
      <c r="M19" s="43">
        <v>293483.61629999999</v>
      </c>
      <c r="N19" s="43">
        <v>243226.22219999999</v>
      </c>
    </row>
    <row r="20" spans="1:14">
      <c r="A20" s="44">
        <v>42282.708333333336</v>
      </c>
      <c r="B20" s="43">
        <v>0.7</v>
      </c>
      <c r="C20" s="43">
        <v>1.9</v>
      </c>
      <c r="D20" s="43">
        <v>0.5</v>
      </c>
      <c r="E20" s="43">
        <v>0.4</v>
      </c>
      <c r="F20" s="48">
        <v>0.4</v>
      </c>
      <c r="G20" s="67"/>
      <c r="H20" s="67"/>
      <c r="I20" s="67"/>
      <c r="J20" s="43">
        <v>116547.6139</v>
      </c>
      <c r="K20" s="43">
        <v>559771.20900000003</v>
      </c>
      <c r="L20" s="43">
        <v>797390.20160000003</v>
      </c>
      <c r="M20" s="43">
        <v>269706.31479999999</v>
      </c>
      <c r="N20" s="43">
        <v>216469.33590000001</v>
      </c>
    </row>
    <row r="21" spans="1:14">
      <c r="A21" s="44">
        <v>42282.791666666664</v>
      </c>
      <c r="B21" s="43">
        <v>0.3</v>
      </c>
      <c r="C21" s="43">
        <v>1.3</v>
      </c>
      <c r="D21" s="43">
        <v>0.9</v>
      </c>
      <c r="E21" s="43">
        <v>0.2</v>
      </c>
      <c r="F21" s="46">
        <v>0.4</v>
      </c>
      <c r="G21" s="65"/>
      <c r="H21" s="65"/>
      <c r="I21" s="65"/>
      <c r="J21" s="43">
        <v>142994.799</v>
      </c>
      <c r="K21" s="43">
        <v>629011.2476</v>
      </c>
      <c r="L21" s="43">
        <v>871622.0638</v>
      </c>
      <c r="M21" s="43">
        <v>319245.55320000002</v>
      </c>
      <c r="N21" s="43">
        <v>247300.4883</v>
      </c>
    </row>
    <row r="22" spans="1:14">
      <c r="A22" s="44">
        <v>42282.875</v>
      </c>
      <c r="B22" s="43">
        <v>0.4</v>
      </c>
      <c r="C22" s="43">
        <v>0.05</v>
      </c>
      <c r="D22" s="43">
        <v>0.7</v>
      </c>
      <c r="E22" s="43">
        <v>0.2</v>
      </c>
      <c r="F22" s="46">
        <v>0.5</v>
      </c>
      <c r="G22" s="65"/>
      <c r="H22" s="65"/>
      <c r="I22" s="65"/>
      <c r="J22" s="43">
        <v>163510.70079999999</v>
      </c>
      <c r="K22" s="43">
        <v>903375.93900000001</v>
      </c>
      <c r="L22" s="43">
        <v>1207232.5819999999</v>
      </c>
      <c r="M22" s="43">
        <v>544929.56200000003</v>
      </c>
      <c r="N22" s="43">
        <v>443650.09460000001</v>
      </c>
    </row>
    <row r="23" spans="1:14">
      <c r="A23" s="44">
        <v>42282.958333333336</v>
      </c>
      <c r="B23" s="43">
        <v>0.3</v>
      </c>
      <c r="C23" s="43">
        <v>0.9</v>
      </c>
      <c r="D23" s="43">
        <v>0.9</v>
      </c>
      <c r="E23" s="43">
        <v>0.3</v>
      </c>
      <c r="F23" s="46">
        <v>0.5</v>
      </c>
      <c r="G23" s="65"/>
      <c r="H23" s="65"/>
      <c r="I23" s="65"/>
      <c r="J23" s="43">
        <v>184389.02780000001</v>
      </c>
      <c r="K23" s="43">
        <v>867740.01049999997</v>
      </c>
      <c r="L23" s="43">
        <v>1149413.3</v>
      </c>
      <c r="M23" s="43">
        <v>404860.69679999998</v>
      </c>
      <c r="N23" s="43">
        <v>312837.71899999998</v>
      </c>
    </row>
    <row r="24" spans="1:14">
      <c r="A24" s="72">
        <v>42283.041666666664</v>
      </c>
      <c r="B24" s="73">
        <v>0.6</v>
      </c>
      <c r="C24" s="73">
        <v>0.3</v>
      </c>
      <c r="D24" s="73">
        <v>0.1</v>
      </c>
      <c r="E24" s="73">
        <v>0.3</v>
      </c>
      <c r="F24" s="46">
        <v>0.4</v>
      </c>
      <c r="G24" s="65"/>
      <c r="H24" s="65"/>
      <c r="I24" s="65"/>
      <c r="J24" s="73">
        <v>127982.59450000001</v>
      </c>
      <c r="K24" s="73">
        <v>768250.80810000002</v>
      </c>
      <c r="L24" s="73">
        <v>998668.38630000001</v>
      </c>
      <c r="M24" s="73">
        <v>279198.35820000002</v>
      </c>
      <c r="N24" s="73">
        <v>221904.66380000001</v>
      </c>
    </row>
    <row r="25" spans="1:14">
      <c r="A25" s="72">
        <v>42283.125</v>
      </c>
      <c r="B25" s="73">
        <v>0.4</v>
      </c>
      <c r="C25" s="73">
        <v>1.3</v>
      </c>
      <c r="D25" s="73">
        <v>1.2</v>
      </c>
      <c r="E25" s="73">
        <v>0.8</v>
      </c>
      <c r="F25" s="46">
        <v>0.9</v>
      </c>
      <c r="G25" s="65"/>
      <c r="H25" s="65"/>
      <c r="I25" s="65"/>
      <c r="J25" s="73">
        <v>79979.301449999999</v>
      </c>
      <c r="K25" s="73">
        <v>480354.29080000002</v>
      </c>
      <c r="L25" s="73">
        <v>640155.98829999997</v>
      </c>
      <c r="M25" s="73">
        <v>128770.02069999999</v>
      </c>
      <c r="N25" s="73">
        <v>100728.9803</v>
      </c>
    </row>
    <row r="26" spans="1:14">
      <c r="A26" s="72">
        <v>42283.208333333336</v>
      </c>
      <c r="B26" s="73">
        <v>0.4</v>
      </c>
      <c r="C26" s="73">
        <v>0.5</v>
      </c>
      <c r="D26" s="73">
        <v>0.3</v>
      </c>
      <c r="E26" s="73">
        <v>0.5</v>
      </c>
      <c r="F26" s="46">
        <v>1.2</v>
      </c>
      <c r="G26" s="65"/>
      <c r="H26" s="65"/>
      <c r="I26" s="65"/>
      <c r="J26" s="73">
        <v>71900.07591</v>
      </c>
      <c r="K26" s="73">
        <v>476012.7892</v>
      </c>
      <c r="L26" s="73">
        <v>642346.83380000002</v>
      </c>
      <c r="M26" s="73">
        <v>179480.02650000001</v>
      </c>
      <c r="N26" s="73">
        <v>156831.23819999999</v>
      </c>
    </row>
    <row r="27" spans="1:14">
      <c r="A27" s="72">
        <v>42283.291666666664</v>
      </c>
      <c r="B27" s="73">
        <v>0.5</v>
      </c>
      <c r="C27" s="73">
        <v>0.2</v>
      </c>
      <c r="D27" s="73">
        <v>0.1</v>
      </c>
      <c r="E27" s="73">
        <v>0.5</v>
      </c>
      <c r="F27" s="46">
        <v>0.6</v>
      </c>
      <c r="G27" s="65"/>
      <c r="H27" s="65"/>
      <c r="I27" s="65"/>
      <c r="J27" s="73">
        <v>114841.8217</v>
      </c>
      <c r="K27" s="73">
        <v>476623.82809999998</v>
      </c>
      <c r="L27" s="73">
        <v>684742.14020000002</v>
      </c>
      <c r="M27" s="73">
        <v>338616.9645</v>
      </c>
      <c r="N27" s="73">
        <v>276497.92560000002</v>
      </c>
    </row>
    <row r="28" spans="1:14">
      <c r="A28" s="72">
        <v>42283.375</v>
      </c>
      <c r="B28" s="73">
        <v>0.1</v>
      </c>
      <c r="C28" s="73">
        <v>0.5</v>
      </c>
      <c r="D28" s="73">
        <v>0.3</v>
      </c>
      <c r="E28" s="73">
        <v>0.1</v>
      </c>
      <c r="F28" s="46">
        <v>0.1</v>
      </c>
      <c r="G28" s="65"/>
      <c r="H28" s="65"/>
      <c r="I28" s="65"/>
      <c r="J28" s="73">
        <v>158150.51420000001</v>
      </c>
      <c r="K28" s="73">
        <v>648976.79099999997</v>
      </c>
      <c r="L28" s="73">
        <v>928350.86170000001</v>
      </c>
      <c r="M28" s="73">
        <v>362348.65379999997</v>
      </c>
      <c r="N28" s="73">
        <v>303437.28100000002</v>
      </c>
    </row>
    <row r="29" spans="1:14">
      <c r="A29" s="72">
        <v>42283.458333333336</v>
      </c>
      <c r="B29" s="73">
        <v>0.2</v>
      </c>
      <c r="C29" s="73">
        <v>0.6</v>
      </c>
      <c r="D29" s="73">
        <v>0.3</v>
      </c>
      <c r="E29" s="73">
        <v>0.05</v>
      </c>
      <c r="F29" s="73">
        <v>0.05</v>
      </c>
      <c r="G29" s="73"/>
      <c r="H29" s="73"/>
      <c r="I29" s="73"/>
      <c r="J29" s="73">
        <v>133989.1171</v>
      </c>
      <c r="K29" s="73">
        <v>611322.98470000003</v>
      </c>
      <c r="L29" s="73">
        <v>877301.98860000004</v>
      </c>
      <c r="M29" s="73">
        <v>356116.20770000003</v>
      </c>
      <c r="N29" s="73">
        <v>289972.09399999998</v>
      </c>
    </row>
    <row r="30" spans="1:14">
      <c r="A30" s="72">
        <v>42283.541666666664</v>
      </c>
      <c r="B30" s="73">
        <v>0.3</v>
      </c>
      <c r="C30" s="73">
        <v>0.6</v>
      </c>
      <c r="D30" s="73">
        <v>0.6</v>
      </c>
      <c r="E30" s="73">
        <v>0.1</v>
      </c>
      <c r="F30" s="46">
        <v>0.1</v>
      </c>
      <c r="G30" s="65"/>
      <c r="H30" s="65"/>
      <c r="I30" s="65"/>
      <c r="J30" s="73">
        <v>117959.8137</v>
      </c>
      <c r="K30" s="73">
        <v>569558.31759999995</v>
      </c>
      <c r="L30" s="73">
        <v>824203.11809999996</v>
      </c>
      <c r="M30" s="73">
        <v>291188.83669999999</v>
      </c>
      <c r="N30" s="73">
        <v>233825.26930000001</v>
      </c>
    </row>
    <row r="31" spans="1:14">
      <c r="A31" s="72">
        <v>42283.625</v>
      </c>
      <c r="B31" s="73">
        <v>0.5</v>
      </c>
      <c r="C31" s="73">
        <v>0.2</v>
      </c>
      <c r="D31" s="73">
        <v>0.5</v>
      </c>
      <c r="E31" s="73">
        <v>0.05</v>
      </c>
      <c r="F31" s="73">
        <v>0.05</v>
      </c>
      <c r="G31" s="73"/>
      <c r="H31" s="73"/>
      <c r="I31" s="73"/>
      <c r="J31" s="73">
        <v>119424.5316</v>
      </c>
      <c r="K31" s="73">
        <v>596697.11609999998</v>
      </c>
      <c r="L31" s="73">
        <v>948893.1152</v>
      </c>
      <c r="M31" s="73">
        <v>216755.01819999999</v>
      </c>
      <c r="N31" s="73">
        <v>163175.2556</v>
      </c>
    </row>
    <row r="32" spans="1:14">
      <c r="A32" s="72">
        <v>42283.708333333336</v>
      </c>
      <c r="B32" s="73">
        <v>0.2</v>
      </c>
      <c r="C32" s="73">
        <v>0.4</v>
      </c>
      <c r="D32" s="73">
        <v>0.1</v>
      </c>
      <c r="E32" s="73">
        <v>0.3</v>
      </c>
      <c r="F32" s="48">
        <v>0.4</v>
      </c>
      <c r="G32" s="67"/>
      <c r="H32" s="67"/>
      <c r="I32" s="67"/>
      <c r="J32" s="73">
        <v>119055.6948</v>
      </c>
      <c r="K32" s="73">
        <v>761744.13809999998</v>
      </c>
      <c r="L32" s="73">
        <v>984510.49399999995</v>
      </c>
      <c r="M32" s="73">
        <v>187634.27239999999</v>
      </c>
      <c r="N32" s="73">
        <v>136730.86170000001</v>
      </c>
    </row>
    <row r="33" spans="1:14">
      <c r="A33" s="72">
        <v>42283.791666666664</v>
      </c>
      <c r="B33" s="73">
        <v>0.2</v>
      </c>
      <c r="C33" s="73">
        <v>0.05</v>
      </c>
      <c r="D33" s="73">
        <v>0.3</v>
      </c>
      <c r="E33" s="73">
        <v>0.05</v>
      </c>
      <c r="F33" s="46">
        <v>0.2</v>
      </c>
      <c r="G33" s="65"/>
      <c r="H33" s="65"/>
      <c r="I33" s="65"/>
      <c r="J33" s="73">
        <v>145710.6966</v>
      </c>
      <c r="K33" s="73">
        <v>635641.87950000004</v>
      </c>
      <c r="L33" s="73">
        <v>891313.94979999994</v>
      </c>
      <c r="M33" s="73">
        <v>394846.19179999997</v>
      </c>
      <c r="N33" s="73">
        <v>302057.22659999999</v>
      </c>
    </row>
    <row r="34" spans="1:14">
      <c r="A34" s="72">
        <v>42283.875</v>
      </c>
      <c r="B34" s="73">
        <v>0.4</v>
      </c>
      <c r="C34" s="73">
        <v>0.4</v>
      </c>
      <c r="D34" s="73">
        <v>0.1</v>
      </c>
      <c r="E34" s="73">
        <v>0.2</v>
      </c>
      <c r="F34" s="46">
        <v>0.3</v>
      </c>
      <c r="G34" s="65"/>
      <c r="H34" s="65"/>
      <c r="I34" s="65"/>
      <c r="J34" s="73">
        <v>156920.5055</v>
      </c>
      <c r="K34" s="73">
        <v>748278.78110000002</v>
      </c>
      <c r="L34" s="73">
        <v>972328.14789999998</v>
      </c>
      <c r="M34" s="73">
        <v>379090.54070000001</v>
      </c>
      <c r="N34" s="73">
        <v>288737.96539999999</v>
      </c>
    </row>
    <row r="35" spans="1:14">
      <c r="A35" s="72">
        <v>42283.958333333336</v>
      </c>
      <c r="B35" s="73">
        <v>0.5</v>
      </c>
      <c r="C35" s="73">
        <v>0.3</v>
      </c>
      <c r="D35" s="73">
        <v>0.5</v>
      </c>
      <c r="E35" s="73">
        <v>0.2</v>
      </c>
      <c r="F35" s="46">
        <v>0.4</v>
      </c>
      <c r="G35" s="65"/>
      <c r="H35" s="65"/>
      <c r="I35" s="65"/>
      <c r="J35" s="73">
        <v>177746.63889999999</v>
      </c>
      <c r="K35" s="73">
        <v>807288.18629999994</v>
      </c>
      <c r="L35" s="73">
        <v>1145997.3899999999</v>
      </c>
      <c r="M35" s="73">
        <v>430364.34860000003</v>
      </c>
      <c r="N35" s="73">
        <v>334714.45079999999</v>
      </c>
    </row>
    <row r="36" spans="1:14">
      <c r="A36" s="44">
        <v>42284.041666666664</v>
      </c>
      <c r="B36" s="43">
        <v>0.5</v>
      </c>
      <c r="C36" s="43">
        <v>0.3</v>
      </c>
      <c r="D36" s="43">
        <v>0.6</v>
      </c>
      <c r="E36" s="43">
        <v>0.2</v>
      </c>
      <c r="F36" s="46">
        <v>0.4</v>
      </c>
      <c r="G36" s="65"/>
      <c r="H36" s="65"/>
      <c r="I36" s="65"/>
      <c r="J36" s="43">
        <v>123731.39019999999</v>
      </c>
      <c r="K36" s="43">
        <v>665879.18299999996</v>
      </c>
      <c r="L36" s="43">
        <v>889428.10880000005</v>
      </c>
      <c r="M36" s="43">
        <v>289598.18459999998</v>
      </c>
      <c r="N36" s="43">
        <v>230036.8401</v>
      </c>
    </row>
    <row r="37" spans="1:14">
      <c r="A37" s="44">
        <v>42284.125</v>
      </c>
      <c r="B37" s="43">
        <v>0.3</v>
      </c>
      <c r="C37" s="43">
        <v>0.1</v>
      </c>
      <c r="D37" s="43">
        <v>0.5</v>
      </c>
      <c r="E37" s="43">
        <v>0.2</v>
      </c>
      <c r="F37" s="46">
        <v>0.4</v>
      </c>
      <c r="G37" s="65"/>
      <c r="H37" s="65"/>
      <c r="I37" s="65"/>
      <c r="J37" s="43">
        <v>79332.921700000006</v>
      </c>
      <c r="K37" s="43">
        <v>530995.91189999995</v>
      </c>
      <c r="L37" s="43">
        <v>691248.03509999998</v>
      </c>
      <c r="M37" s="43">
        <v>181462.53260000001</v>
      </c>
      <c r="N37" s="43">
        <v>151666.6992</v>
      </c>
    </row>
    <row r="38" spans="1:14">
      <c r="A38" s="44">
        <v>42284.208333333336</v>
      </c>
      <c r="B38" s="43">
        <v>0.3</v>
      </c>
      <c r="C38" s="43">
        <v>0.2</v>
      </c>
      <c r="D38" s="43">
        <v>0.2</v>
      </c>
      <c r="E38" s="43">
        <v>0.4</v>
      </c>
      <c r="F38" s="46">
        <v>0.4</v>
      </c>
      <c r="G38" s="65"/>
      <c r="H38" s="65"/>
      <c r="I38" s="65"/>
      <c r="J38" s="43">
        <v>74901.570800000001</v>
      </c>
      <c r="K38" s="43">
        <v>307008.35869999998</v>
      </c>
      <c r="L38" s="43">
        <v>449225.58319999999</v>
      </c>
      <c r="M38" s="43">
        <v>96552.608300000007</v>
      </c>
      <c r="N38" s="43">
        <v>73164.197159999996</v>
      </c>
    </row>
    <row r="39" spans="1:14">
      <c r="A39" s="44">
        <v>42284.291666666664</v>
      </c>
      <c r="B39" s="43">
        <v>0.4</v>
      </c>
      <c r="C39" s="43">
        <v>0.2</v>
      </c>
      <c r="D39" s="43">
        <v>0.4</v>
      </c>
      <c r="E39" s="43">
        <v>0.2</v>
      </c>
      <c r="F39" s="46">
        <v>0.2</v>
      </c>
      <c r="G39" s="65"/>
      <c r="H39" s="65"/>
      <c r="I39" s="65"/>
      <c r="J39" s="43">
        <v>117872.51360000001</v>
      </c>
      <c r="K39" s="43">
        <v>500796.7403</v>
      </c>
      <c r="L39" s="43">
        <v>675627.01379999996</v>
      </c>
      <c r="M39" s="43">
        <v>207333.09</v>
      </c>
      <c r="N39" s="43">
        <v>155994.6053</v>
      </c>
    </row>
    <row r="40" spans="1:14">
      <c r="A40" s="44">
        <v>42284.375</v>
      </c>
      <c r="B40" s="43">
        <v>0.4</v>
      </c>
      <c r="C40" s="43">
        <v>0.3</v>
      </c>
      <c r="D40" s="43">
        <v>0.3</v>
      </c>
      <c r="E40" s="43">
        <v>0.3</v>
      </c>
      <c r="F40" s="49">
        <v>0.3</v>
      </c>
      <c r="G40" s="75"/>
      <c r="H40" s="75"/>
      <c r="I40" s="75"/>
      <c r="J40" s="43">
        <v>145607.1024</v>
      </c>
      <c r="K40" s="43">
        <v>622327.76809999999</v>
      </c>
      <c r="L40" s="43">
        <v>848544.00269999995</v>
      </c>
      <c r="M40" s="43">
        <v>322932.62329999998</v>
      </c>
      <c r="N40" s="43">
        <v>254940.11309999999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29DB-6544-4CE6-9D5C-D7304403495D}">
  <dimension ref="A1:L11"/>
  <sheetViews>
    <sheetView workbookViewId="0">
      <selection activeCell="Q10" sqref="Q10"/>
    </sheetView>
  </sheetViews>
  <sheetFormatPr defaultRowHeight="14.5"/>
  <sheetData>
    <row r="1" spans="1:12" ht="33.5" customHeight="1">
      <c r="A1" s="82" t="s">
        <v>123</v>
      </c>
      <c r="B1" s="77" t="s">
        <v>124</v>
      </c>
      <c r="C1" s="77" t="s">
        <v>126</v>
      </c>
      <c r="D1" s="77" t="s">
        <v>127</v>
      </c>
      <c r="E1" s="77" t="s">
        <v>140</v>
      </c>
      <c r="F1" s="77"/>
      <c r="G1" s="77" t="s">
        <v>128</v>
      </c>
      <c r="H1" s="82" t="s">
        <v>130</v>
      </c>
      <c r="I1" s="77" t="s">
        <v>118</v>
      </c>
      <c r="J1" s="82" t="s">
        <v>131</v>
      </c>
      <c r="K1" s="8" t="s">
        <v>141</v>
      </c>
      <c r="L1" s="8" t="s">
        <v>142</v>
      </c>
    </row>
    <row r="2" spans="1:12" ht="16" thickBot="1">
      <c r="A2" s="83"/>
      <c r="B2" s="78" t="s">
        <v>125</v>
      </c>
      <c r="C2" s="78" t="s">
        <v>125</v>
      </c>
      <c r="D2" s="78" t="s">
        <v>125</v>
      </c>
      <c r="E2" s="78" t="s">
        <v>125</v>
      </c>
      <c r="F2" s="78"/>
      <c r="G2" s="78" t="s">
        <v>129</v>
      </c>
      <c r="H2" s="83"/>
      <c r="I2" s="78" t="s">
        <v>125</v>
      </c>
      <c r="J2" s="83"/>
    </row>
    <row r="3" spans="1:12" ht="46.5">
      <c r="A3" s="76" t="s">
        <v>132</v>
      </c>
      <c r="B3" s="76">
        <v>307</v>
      </c>
      <c r="C3" s="76">
        <v>143</v>
      </c>
      <c r="D3" s="76">
        <v>93</v>
      </c>
      <c r="E3" s="76">
        <v>85</v>
      </c>
      <c r="F3" s="76"/>
      <c r="G3" s="76">
        <v>418</v>
      </c>
      <c r="H3" s="76">
        <v>7.59</v>
      </c>
      <c r="I3" s="76">
        <v>3.17</v>
      </c>
      <c r="J3" s="79">
        <v>58704</v>
      </c>
      <c r="K3">
        <f>E3/B3</f>
        <v>0.27687296416938112</v>
      </c>
      <c r="L3">
        <f>(C3-E3)/B3</f>
        <v>0.18892508143322476</v>
      </c>
    </row>
    <row r="4" spans="1:12" ht="46.5">
      <c r="A4" s="76" t="s">
        <v>133</v>
      </c>
      <c r="B4" s="76">
        <v>263</v>
      </c>
      <c r="C4" s="76">
        <v>128</v>
      </c>
      <c r="D4" s="76">
        <v>77</v>
      </c>
      <c r="E4" s="76">
        <v>71</v>
      </c>
      <c r="F4" s="76"/>
      <c r="G4" s="76">
        <v>308</v>
      </c>
      <c r="H4" s="76">
        <v>7.06</v>
      </c>
      <c r="I4" s="76">
        <v>5.34</v>
      </c>
      <c r="J4" s="79">
        <v>231432</v>
      </c>
      <c r="K4">
        <f t="shared" ref="K4:K10" si="0">E4/B4</f>
        <v>0.26996197718631176</v>
      </c>
      <c r="L4">
        <f t="shared" ref="L4:L10" si="1">(C4-E4)/B4</f>
        <v>0.21673003802281368</v>
      </c>
    </row>
    <row r="5" spans="1:12" ht="46.5">
      <c r="A5" s="76" t="s">
        <v>134</v>
      </c>
      <c r="B5" s="76">
        <v>317</v>
      </c>
      <c r="C5" s="76">
        <v>100</v>
      </c>
      <c r="D5" s="76">
        <v>93</v>
      </c>
      <c r="E5" s="76">
        <v>83</v>
      </c>
      <c r="F5" s="76"/>
      <c r="G5" s="76">
        <v>350</v>
      </c>
      <c r="H5" s="76">
        <v>7.45</v>
      </c>
      <c r="I5" s="76">
        <v>4.28</v>
      </c>
      <c r="J5" s="79">
        <v>350040</v>
      </c>
      <c r="K5">
        <f t="shared" si="0"/>
        <v>0.26182965299684541</v>
      </c>
      <c r="L5">
        <f t="shared" si="1"/>
        <v>5.362776025236593E-2</v>
      </c>
    </row>
    <row r="6" spans="1:12" ht="46.5">
      <c r="A6" s="76" t="s">
        <v>135</v>
      </c>
      <c r="B6" s="76">
        <v>280</v>
      </c>
      <c r="C6" s="76">
        <v>153</v>
      </c>
      <c r="D6" s="76">
        <v>94</v>
      </c>
      <c r="E6" s="76">
        <v>71</v>
      </c>
      <c r="F6" s="76"/>
      <c r="G6" s="76">
        <v>321</v>
      </c>
      <c r="H6" s="76">
        <v>7.5</v>
      </c>
      <c r="I6" s="76">
        <v>4.5599999999999996</v>
      </c>
      <c r="J6" s="79">
        <v>69840</v>
      </c>
      <c r="K6">
        <f t="shared" si="0"/>
        <v>0.25357142857142856</v>
      </c>
      <c r="L6">
        <f t="shared" si="1"/>
        <v>0.29285714285714287</v>
      </c>
    </row>
    <row r="7" spans="1:12" ht="46.5">
      <c r="A7" s="76" t="s">
        <v>136</v>
      </c>
      <c r="B7" s="76">
        <v>277</v>
      </c>
      <c r="C7" s="76">
        <v>170</v>
      </c>
      <c r="D7" s="76">
        <v>96</v>
      </c>
      <c r="E7" s="76">
        <v>72</v>
      </c>
      <c r="F7" s="76"/>
      <c r="G7" s="76">
        <v>281</v>
      </c>
      <c r="H7" s="76">
        <v>7.25</v>
      </c>
      <c r="I7" s="76">
        <v>1.04</v>
      </c>
      <c r="J7" s="79">
        <v>139488</v>
      </c>
      <c r="K7">
        <f t="shared" si="0"/>
        <v>0.25992779783393499</v>
      </c>
      <c r="L7">
        <f t="shared" si="1"/>
        <v>0.35379061371841153</v>
      </c>
    </row>
    <row r="8" spans="1:12" ht="46.5">
      <c r="A8" s="76" t="s">
        <v>137</v>
      </c>
      <c r="B8" s="76">
        <v>293</v>
      </c>
      <c r="C8" s="76">
        <v>157</v>
      </c>
      <c r="D8" s="76">
        <v>127</v>
      </c>
      <c r="E8" s="76">
        <v>85</v>
      </c>
      <c r="F8" s="76"/>
      <c r="G8" s="76">
        <v>234</v>
      </c>
      <c r="H8" s="76">
        <v>6.97</v>
      </c>
      <c r="I8" s="76">
        <v>5.93</v>
      </c>
      <c r="J8" s="79">
        <v>231240</v>
      </c>
      <c r="K8">
        <f t="shared" si="0"/>
        <v>0.29010238907849828</v>
      </c>
      <c r="L8">
        <f t="shared" si="1"/>
        <v>0.24573378839590443</v>
      </c>
    </row>
    <row r="9" spans="1:12" ht="46.5">
      <c r="A9" s="76" t="s">
        <v>138</v>
      </c>
      <c r="B9" s="76">
        <v>350</v>
      </c>
      <c r="C9" s="76">
        <v>133</v>
      </c>
      <c r="D9" s="76">
        <v>193</v>
      </c>
      <c r="E9" s="76">
        <v>77</v>
      </c>
      <c r="F9" s="76"/>
      <c r="G9" s="76">
        <v>344</v>
      </c>
      <c r="H9" s="76">
        <v>7.78</v>
      </c>
      <c r="I9" s="76">
        <v>4.9400000000000004</v>
      </c>
      <c r="J9" s="79">
        <v>61608</v>
      </c>
      <c r="K9">
        <f t="shared" si="0"/>
        <v>0.22</v>
      </c>
      <c r="L9">
        <f t="shared" si="1"/>
        <v>0.16</v>
      </c>
    </row>
    <row r="10" spans="1:12" ht="31.5" thickBot="1">
      <c r="A10" s="80" t="s">
        <v>139</v>
      </c>
      <c r="B10" s="80">
        <v>280</v>
      </c>
      <c r="C10" s="80">
        <v>147</v>
      </c>
      <c r="D10" s="80">
        <v>123</v>
      </c>
      <c r="E10" s="80">
        <v>79</v>
      </c>
      <c r="F10" s="80"/>
      <c r="G10" s="80">
        <v>281</v>
      </c>
      <c r="H10" s="80">
        <v>6.99</v>
      </c>
      <c r="I10" s="80">
        <v>1.1100000000000001</v>
      </c>
      <c r="J10" s="81">
        <v>1145232</v>
      </c>
      <c r="K10">
        <f t="shared" si="0"/>
        <v>0.28214285714285714</v>
      </c>
      <c r="L10">
        <f t="shared" si="1"/>
        <v>0.24285714285714285</v>
      </c>
    </row>
    <row r="11" spans="1:12">
      <c r="K11">
        <f>AVERAGE(K3:K10)</f>
        <v>0.26430113337240718</v>
      </c>
      <c r="L11">
        <f>AVERAGE(L3:L10)</f>
        <v>0.21931519594212576</v>
      </c>
    </row>
  </sheetData>
  <mergeCells count="3">
    <mergeCell ref="A1:A2"/>
    <mergeCell ref="H1:H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COD</vt:lpstr>
      <vt:lpstr>HK</vt:lpstr>
      <vt:lpstr>WWTP flow</vt:lpstr>
      <vt:lpstr>data provided by LZS</vt:lpstr>
      <vt:lpstr>TDS update1</vt:lpstr>
      <vt:lpstr>TDS update2</vt:lpstr>
      <vt:lpstr>TDS updata5</vt:lpstr>
      <vt:lpstr>DO_force</vt:lpstr>
      <vt:lpstr>TDS update3</vt:lpstr>
      <vt:lpstr>COD fraction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zou</dc:creator>
  <cp:lastModifiedBy>ZOU Xu</cp:lastModifiedBy>
  <dcterms:created xsi:type="dcterms:W3CDTF">2023-05-12T11:15:00Z</dcterms:created>
  <dcterms:modified xsi:type="dcterms:W3CDTF">2026-06-17T04:46:55Z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MSIP_Label_5c36cb26-9340-4945-b0d7-8dcff692d013_Enabled">
    <vt:lpwstr>true</vt:lpwstr>
  </property>
  <property fmtid="{D5CDD505-2E9C-101B-9397-08002B2CF9AE}" pid="4" name="MSIP_Label_5c36cb26-9340-4945-b0d7-8dcff692d013_SetDate">
    <vt:lpwstr>2026-06-05T02:02:55Z</vt:lpwstr>
  </property>
  <property fmtid="{D5CDD505-2E9C-101B-9397-08002B2CF9AE}" pid="5" name="MSIP_Label_5c36cb26-9340-4945-b0d7-8dcff692d013_Method">
    <vt:lpwstr>Privileged</vt:lpwstr>
  </property>
  <property fmtid="{D5CDD505-2E9C-101B-9397-08002B2CF9AE}" pid="6" name="MSIP_Label_5c36cb26-9340-4945-b0d7-8dcff692d013_Name">
    <vt:lpwstr>Public</vt:lpwstr>
  </property>
  <property fmtid="{D5CDD505-2E9C-101B-9397-08002B2CF9AE}" pid="7" name="MSIP_Label_5c36cb26-9340-4945-b0d7-8dcff692d013_SiteId">
    <vt:lpwstr>c917f3e2-9322-4926-9bb3-daca730413ca</vt:lpwstr>
  </property>
  <property fmtid="{D5CDD505-2E9C-101B-9397-08002B2CF9AE}" pid="8" name="MSIP_Label_5c36cb26-9340-4945-b0d7-8dcff692d013_ActionId">
    <vt:lpwstr>9a3ed4dd-043c-4e73-a9db-bd02f72f610c</vt:lpwstr>
  </property>
  <property fmtid="{D5CDD505-2E9C-101B-9397-08002B2CF9AE}" pid="9" name="MSIP_Label_5c36cb26-9340-4945-b0d7-8dcff692d013_ContentBits">
    <vt:lpwstr>0</vt:lpwstr>
  </property>
  <property fmtid="{D5CDD505-2E9C-101B-9397-08002B2CF9AE}" pid="10" name="MSIP_Label_5c36cb26-9340-4945-b0d7-8dcff692d013_Tag">
    <vt:lpwstr>10, 0, 1, 1</vt:lpwstr>
  </property>
</Properties>
</file>